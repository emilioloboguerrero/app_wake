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User\Desktop\JFBC\PT\PLANTILLAS\"/>
    </mc:Choice>
  </mc:AlternateContent>
  <xr:revisionPtr revIDLastSave="0" documentId="13_ncr:1_{6FF4C2B7-4473-4E21-A869-5A81E709D293}" xr6:coauthVersionLast="47" xr6:coauthVersionMax="47" xr10:uidLastSave="{00000000-0000-0000-0000-000000000000}"/>
  <bookViews>
    <workbookView xWindow="-120" yWindow="-120" windowWidth="29040" windowHeight="15840" activeTab="3" xr2:uid="{00000000-000D-0000-FFFF-FFFF00000000}"/>
  </bookViews>
  <sheets>
    <sheet name="INICIO" sheetId="4" r:id="rId1"/>
    <sheet name="INSTRUCTIVO DIETA" sheetId="2" r:id="rId2"/>
    <sheet name="DIETA" sheetId="1" r:id="rId3"/>
    <sheet name="EJERCICIO" sheetId="40" r:id="rId4"/>
    <sheet name="PROGRESO" sheetId="13" r:id="rId5"/>
    <sheet name="EJEMPLO (1)" sheetId="35" r:id="rId6"/>
    <sheet name="EJEMPLO (2)" sheetId="34" r:id="rId7"/>
  </sheets>
  <externalReferences>
    <externalReference r:id="rId8"/>
    <externalReference r:id="rId9"/>
    <externalReference r:id="rId10"/>
  </externalReferences>
  <definedNames>
    <definedName name="aceite" localSheetId="3">'[1]"CATALOGO NUTRICION"'!#REF!</definedName>
    <definedName name="aceite">'[1]"CATALOGO NUTRICION"'!#REF!</definedName>
    <definedName name="aceite_a" localSheetId="3">#REF!</definedName>
    <definedName name="aceite_a">#REF!</definedName>
    <definedName name="aceite_c" localSheetId="3">#REF!</definedName>
    <definedName name="aceite_c">#REF!</definedName>
    <definedName name="bebida">'[2]"CATALOGO NUTRICION"'!$B$15:$B$16</definedName>
    <definedName name="bebida_a" localSheetId="3">#REF!</definedName>
    <definedName name="bebida_a">#REF!</definedName>
    <definedName name="bebida_c" localSheetId="3">#REF!</definedName>
    <definedName name="bebida_c">#REF!</definedName>
    <definedName name="bebida_comida">'[2]"CATALOGO NUTRICION"'!$B$86:$B$87</definedName>
    <definedName name="bebida_d" localSheetId="3">#REF!</definedName>
    <definedName name="bebida_d">#REF!</definedName>
    <definedName name="Carb_alm">'[2]"CATALOGO NUTRICION"'!$B$22:$B$25</definedName>
    <definedName name="Carb_comida">'[2]"CATALOGO NUTRICION"'!$B$67:$B$71</definedName>
    <definedName name="Carb_meram">'[2]"CATALOGO NUTRICION"'!#REF!</definedName>
    <definedName name="Carb1_fruta">'[2]"CATALOGO NUTRICION"'!$B$47:$B$55</definedName>
    <definedName name="Carb2_DSY">'[2]"CATALOGO NUTRICION"'!$B$3:$B$6</definedName>
    <definedName name="carbo_a" localSheetId="3">#REF!</definedName>
    <definedName name="carbo_a">#REF!</definedName>
    <definedName name="carbo_c" localSheetId="3">#REF!</definedName>
    <definedName name="carbo_c">#REF!</definedName>
    <definedName name="carbo_d" localSheetId="3">#REF!</definedName>
    <definedName name="carbo_d">#REF!</definedName>
    <definedName name="carbo_mam" localSheetId="3">'[1]"CATALOGO NUTRICION"'!#REF!</definedName>
    <definedName name="carbo_mam">'[1]"CATALOGO NUTRICION"'!#REF!</definedName>
    <definedName name="carbo_n" localSheetId="3">'[1]"CATALOGO NUTRICION"'!#REF!</definedName>
    <definedName name="carbo_n">'[1]"CATALOGO NUTRICION"'!#REF!</definedName>
    <definedName name="ensalada">'[2]"CATALOGO NUTRICION"'!$B$40:$B$41</definedName>
    <definedName name="epeciales_comida">'[2]"CATALOGO NUTRICION"'!$B$81:$B$84</definedName>
    <definedName name="espec">'[2]"CATALOGO NUTRICION"'!$B$92:$B$101</definedName>
    <definedName name="especiales" localSheetId="3">#REF!</definedName>
    <definedName name="especiales">#REF!</definedName>
    <definedName name="fruta_c" localSheetId="3">'[1]"CATALOGO NUTRICION"'!#REF!</definedName>
    <definedName name="fruta_c">'[1]"CATALOGO NUTRICION"'!#REF!</definedName>
    <definedName name="fruta_c1" localSheetId="3">#REF!</definedName>
    <definedName name="fruta_c1">#REF!</definedName>
    <definedName name="fruta_d" localSheetId="3">#REF!</definedName>
    <definedName name="fruta_d">#REF!</definedName>
    <definedName name="fruta_mam" localSheetId="3">'[1]"CATALOGO NUTRICION"'!#REF!</definedName>
    <definedName name="fruta_mam">'[1]"CATALOGO NUTRICION"'!#REF!</definedName>
    <definedName name="fruta_mpm" localSheetId="3">'[1]"CATALOGO NUTRICION"'!#REF!</definedName>
    <definedName name="fruta_mpm">'[1]"CATALOGO NUTRICION"'!#REF!</definedName>
    <definedName name="fruta_n" localSheetId="3">'[1]"CATALOGO NUTRICION"'!#REF!</definedName>
    <definedName name="fruta_n">'[1]"CATALOGO NUTRICION"'!#REF!</definedName>
    <definedName name="grano_a" localSheetId="3">'[1]"CATALOGO NUTRICION"'!#REF!</definedName>
    <definedName name="grano_a">'[1]"CATALOGO NUTRICION"'!#REF!</definedName>
    <definedName name="Legumbres">'[2]"CATALOGO NUTRICION"'!$B$27:$B$30</definedName>
    <definedName name="legumbres_a" localSheetId="3">#REF!</definedName>
    <definedName name="legumbres_a">#REF!</definedName>
    <definedName name="Merienda_pm" localSheetId="3">'[2]"CATALOGO NUTRICION"'!#REF!</definedName>
    <definedName name="Merienda_pm">'[2]"CATALOGO NUTRICION"'!#REF!</definedName>
    <definedName name="meriendapm" localSheetId="3">'[1]"CATALOGO NUTRICION"'!#REF!</definedName>
    <definedName name="meriendapm">'[1]"CATALOGO NUTRICION"'!#REF!</definedName>
    <definedName name="postre_a" localSheetId="3">#REF!</definedName>
    <definedName name="postre_a">#REF!</definedName>
    <definedName name="postre_c" localSheetId="3">#REF!</definedName>
    <definedName name="postre_c">#REF!</definedName>
    <definedName name="prote_a">'[1]"CATALOGO NUTRICION"'!$B$49:$B$49</definedName>
    <definedName name="Prote_ALM_COM">'[2]"CATALOGO NUTRICION"'!$B$33:$B$38</definedName>
    <definedName name="prote_c">'[1]"CATALOGO NUTRICION"'!$B$105:$B$113</definedName>
    <definedName name="prote_c1" localSheetId="3">#REF!</definedName>
    <definedName name="prote_c1">#REF!</definedName>
    <definedName name="Prote_comida">'[2]"CATALOGO NUTRICION"'!$B$72:$B$79</definedName>
    <definedName name="prote_d" localSheetId="3">#REF!</definedName>
    <definedName name="prote_d">#REF!</definedName>
    <definedName name="Prote_DSY">'[2]"CATALOGO NUTRICION"'!$B$8:$B$13</definedName>
    <definedName name="prote_mam">'[1]"CATALOGO NUTRICION"'!#REF!</definedName>
    <definedName name="Prote_meram">'[2]"CATALOGO NUTRICION"'!#REF!</definedName>
    <definedName name="Prote_meriendapm">'[2]"CATALOGO NUTRICION"'!$B$57:$B$60</definedName>
    <definedName name="prote_mpm">'[1]"CATALOGO NUTRICION"'!#REF!</definedName>
    <definedName name="prote_n">'[1]"CATALOGO NUTRICION"'!#REF!</definedName>
    <definedName name="proteina_a" localSheetId="3">#REF!</definedName>
    <definedName name="proteina_a">#REF!</definedName>
    <definedName name="proteina_c" localSheetId="3">#REF!</definedName>
    <definedName name="proteina_c">#REF!</definedName>
    <definedName name="sino" localSheetId="3">[3]DIETA!$AD$1:$AD$2</definedName>
    <definedName name="sino">DIETA!$AD$1:$AD$2</definedName>
    <definedName name="Treat">'[2]"CATALOGO NUTRICION"'!$B$62</definedName>
    <definedName name="Treat_a">'[1]"CATALOGO NUTRICION"'!$B$53:$B$58</definedName>
    <definedName name="treat_c">'[1]"CATALOGO NUTRICION"'!#REF!</definedName>
    <definedName name="treat_d">'[1]"CATALOGO NUTRICION"'!#REF!</definedName>
    <definedName name="treat_mam">'[1]"CATALOGO NUTRICION"'!#REF!</definedName>
    <definedName name="treat_mpm">'[1]"CATALOGO NUTRICION"'!#REF!</definedName>
    <definedName name="verdura_a" localSheetId="3">#REF!</definedName>
    <definedName name="verdura_a">#REF!</definedName>
    <definedName name="verdura_c" localSheetId="3">'[1]"CATALOGO NUTRICION"'!#REF!</definedName>
    <definedName name="verdura_c">'[1]"CATALOGO NUTRICION"'!#REF!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J6" i="4" l="1"/>
  <c r="D30" i="1" l="1"/>
  <c r="E30" i="1"/>
  <c r="F30" i="1"/>
  <c r="G30" i="1"/>
  <c r="G34" i="1" s="1"/>
  <c r="H30" i="1"/>
  <c r="I30" i="1"/>
  <c r="J30" i="1"/>
  <c r="C30" i="1"/>
  <c r="D18" i="1"/>
  <c r="E18" i="1"/>
  <c r="F18" i="1"/>
  <c r="G18" i="1"/>
  <c r="G22" i="1" s="1"/>
  <c r="H18" i="1"/>
  <c r="I18" i="1"/>
  <c r="J18" i="1"/>
  <c r="C18" i="1"/>
  <c r="C10" i="1"/>
  <c r="J54" i="1"/>
  <c r="I54" i="1"/>
  <c r="H54" i="1"/>
  <c r="G54" i="1"/>
  <c r="G62" i="1" s="1"/>
  <c r="F54" i="1"/>
  <c r="E54" i="1"/>
  <c r="D54" i="1"/>
  <c r="C54" i="1"/>
  <c r="J42" i="1"/>
  <c r="I42" i="1"/>
  <c r="H42" i="1"/>
  <c r="G42" i="1"/>
  <c r="G46" i="1" s="1"/>
  <c r="F42" i="1"/>
  <c r="E42" i="1"/>
  <c r="D42" i="1"/>
  <c r="C42" i="1"/>
  <c r="B12" i="1"/>
  <c r="B13" i="1" s="1"/>
  <c r="B14" i="1" s="1"/>
  <c r="B15" i="1" s="1"/>
  <c r="B16" i="1" s="1"/>
  <c r="B17" i="1" s="1"/>
  <c r="B23" i="1" s="1"/>
  <c r="F2" i="1"/>
  <c r="F3" i="1"/>
  <c r="F4" i="1"/>
  <c r="F5" i="1"/>
  <c r="G10" i="1" s="1"/>
  <c r="F6" i="1"/>
  <c r="F1" i="1"/>
  <c r="F75" i="1"/>
  <c r="D75" i="1"/>
  <c r="J83" i="1"/>
  <c r="I83" i="1"/>
  <c r="H83" i="1"/>
  <c r="G83" i="1"/>
  <c r="F83" i="1"/>
  <c r="E83" i="1"/>
  <c r="D83" i="1"/>
  <c r="C83" i="1"/>
  <c r="G75" i="1"/>
  <c r="C70" i="1"/>
  <c r="J70" i="1"/>
  <c r="I70" i="1"/>
  <c r="H70" i="1"/>
  <c r="G70" i="1"/>
  <c r="F70" i="1"/>
  <c r="E70" i="1"/>
  <c r="D70" i="1"/>
  <c r="E59" i="1"/>
  <c r="E75" i="1" s="1"/>
  <c r="F33" i="1"/>
  <c r="F45" i="1" s="1"/>
  <c r="F61" i="1" s="1"/>
  <c r="F74" i="1" s="1"/>
  <c r="K4" i="4"/>
  <c r="K5" i="4"/>
  <c r="K3" i="4"/>
  <c r="IB17" i="2"/>
  <c r="HZ17" i="2"/>
  <c r="HY17" i="2"/>
  <c r="HX17" i="2"/>
  <c r="HW17" i="2"/>
  <c r="HV17" i="2"/>
  <c r="HU11" i="2"/>
  <c r="HU12" i="2" s="1"/>
  <c r="HU13" i="2" s="1"/>
  <c r="HU14" i="2" s="1"/>
  <c r="HU15" i="2" s="1"/>
  <c r="HU16" i="2" s="1"/>
  <c r="FE17" i="2"/>
  <c r="CP17" i="2"/>
  <c r="BB17" i="2"/>
  <c r="FC17" i="2"/>
  <c r="FB17" i="2"/>
  <c r="FA17" i="2"/>
  <c r="EZ17" i="2"/>
  <c r="EY17" i="2"/>
  <c r="EX11" i="2"/>
  <c r="EX12" i="2" s="1"/>
  <c r="EX13" i="2" s="1"/>
  <c r="EX14" i="2" s="1"/>
  <c r="EX15" i="2" s="1"/>
  <c r="EX16" i="2" s="1"/>
  <c r="CN17" i="2"/>
  <c r="CM17" i="2"/>
  <c r="CL17" i="2"/>
  <c r="CK17" i="2"/>
  <c r="CJ17" i="2"/>
  <c r="CI11" i="2"/>
  <c r="CI12" i="2" s="1"/>
  <c r="CI13" i="2" s="1"/>
  <c r="CI14" i="2" s="1"/>
  <c r="CI15" i="2" s="1"/>
  <c r="CI16" i="2" s="1"/>
  <c r="AZ17" i="2"/>
  <c r="AY17" i="2"/>
  <c r="AX17" i="2"/>
  <c r="AW17" i="2"/>
  <c r="AV17" i="2"/>
  <c r="AU11" i="2"/>
  <c r="AU12" i="2" s="1"/>
  <c r="AU13" i="2" s="1"/>
  <c r="AU14" i="2" s="1"/>
  <c r="AU15" i="2" s="1"/>
  <c r="AU16" i="2" s="1"/>
  <c r="I17" i="2"/>
  <c r="G17" i="2"/>
  <c r="F17" i="2"/>
  <c r="E17" i="2"/>
  <c r="D17" i="2"/>
  <c r="C17" i="2"/>
  <c r="B11" i="2"/>
  <c r="B12" i="2"/>
  <c r="B13" i="2" s="1"/>
  <c r="B14" i="2" s="1"/>
  <c r="B15" i="2" s="1"/>
  <c r="B16" i="2" s="1"/>
  <c r="F10" i="1" l="1"/>
  <c r="D10" i="1"/>
  <c r="E10" i="1"/>
  <c r="C22" i="1"/>
  <c r="B24" i="1"/>
  <c r="B25" i="1" s="1"/>
  <c r="B26" i="1" s="1"/>
  <c r="B27" i="1" s="1"/>
  <c r="B28" i="1" s="1"/>
  <c r="B29" i="1" s="1"/>
  <c r="B35" i="1" s="1"/>
  <c r="B36" i="1" s="1"/>
  <c r="B37" i="1" s="1"/>
  <c r="B38" i="1" s="1"/>
  <c r="B39" i="1" s="1"/>
  <c r="B40" i="1" s="1"/>
  <c r="B41" i="1" s="1"/>
  <c r="B47" i="1" s="1"/>
  <c r="B48" i="1" s="1"/>
  <c r="B49" i="1" s="1"/>
  <c r="B50" i="1" s="1"/>
  <c r="B51" i="1" s="1"/>
  <c r="B52" i="1" s="1"/>
  <c r="B53" i="1" s="1"/>
  <c r="B63" i="1" s="1"/>
  <c r="B64" i="1" s="1"/>
  <c r="B65" i="1" s="1"/>
  <c r="B66" i="1" s="1"/>
  <c r="F22" i="1" l="1"/>
  <c r="E22" i="1"/>
  <c r="D22" i="1"/>
  <c r="C34" i="1"/>
  <c r="B67" i="1"/>
  <c r="B68" i="1" s="1"/>
  <c r="B69" i="1" s="1"/>
  <c r="B76" i="1"/>
  <c r="B77" i="1" s="1"/>
  <c r="B78" i="1" s="1"/>
  <c r="B79" i="1" s="1"/>
  <c r="B80" i="1" s="1"/>
  <c r="B81" i="1" s="1"/>
  <c r="B82" i="1" s="1"/>
  <c r="F34" i="1" l="1"/>
  <c r="E34" i="1"/>
  <c r="D34" i="1"/>
  <c r="C46" i="1"/>
  <c r="E46" i="1" l="1"/>
  <c r="E62" i="1" s="1"/>
  <c r="D46" i="1"/>
  <c r="F46" i="1"/>
  <c r="F62" i="1" s="1"/>
  <c r="D62" i="1"/>
  <c r="C62" i="1"/>
</calcChain>
</file>

<file path=xl/sharedStrings.xml><?xml version="1.0" encoding="utf-8"?>
<sst xmlns="http://schemas.openxmlformats.org/spreadsheetml/2006/main" count="575" uniqueCount="181">
  <si>
    <t>Lunes</t>
  </si>
  <si>
    <t>Martes</t>
  </si>
  <si>
    <t>Miercoles</t>
  </si>
  <si>
    <t>Jueves</t>
  </si>
  <si>
    <t>Viernes</t>
  </si>
  <si>
    <t>Sabado</t>
  </si>
  <si>
    <t>Domingo</t>
  </si>
  <si>
    <t>Semana que inicia el:</t>
  </si>
  <si>
    <t>SEMANA 1</t>
  </si>
  <si>
    <t>PROTEINA</t>
  </si>
  <si>
    <t>CARBOHIDRATOS</t>
  </si>
  <si>
    <t>GRASAS</t>
  </si>
  <si>
    <t>CALORIAS</t>
  </si>
  <si>
    <t>Promedio Semanal</t>
  </si>
  <si>
    <t>PESO</t>
  </si>
  <si>
    <t>NIVEL DE HAMBRE</t>
  </si>
  <si>
    <t>NIVEL DE CANSANCIO</t>
  </si>
  <si>
    <t>SEMANA 3</t>
  </si>
  <si>
    <t>HORAS DE SUEÑO</t>
  </si>
  <si>
    <t>OBJTEIVO</t>
  </si>
  <si>
    <t>Nombre:</t>
  </si>
  <si>
    <t>Edad:</t>
  </si>
  <si>
    <t>Sexo:</t>
  </si>
  <si>
    <t>Estatura:</t>
  </si>
  <si>
    <t>Peso:</t>
  </si>
  <si>
    <t>Objetivo:</t>
  </si>
  <si>
    <t>Grasas</t>
  </si>
  <si>
    <t>PROTEÍNA</t>
  </si>
  <si>
    <t>GRASA</t>
  </si>
  <si>
    <t>Plan de Nutrición:</t>
  </si>
  <si>
    <t>Nivel de actividad:</t>
  </si>
  <si>
    <t>Calorías:</t>
  </si>
  <si>
    <t xml:space="preserve">Carbohidratos </t>
  </si>
  <si>
    <t>Proteínas</t>
  </si>
  <si>
    <t>kcal</t>
  </si>
  <si>
    <t>g</t>
  </si>
  <si>
    <t>Este es un ejemplo de como será el bloque semanal que tendrás que llenar, en el cual se evidenciara tu alimentación semanal, y lo relacionaremos con el peso, nivel de hambre, nivel de cansancio y horas de sueño que hayas tenido cada día. Es recomendable que vayas llenando el reporte día a día, para no olvidarte de los datos. 
Te enseño como utilizarlo --&gt;</t>
  </si>
  <si>
    <r>
      <t xml:space="preserve">En esta sección debes colocar en una escala de 1 a 10, el nivel de Hambre y Cansancio durante el día que tuviste en cada uno de los días. Donde 
</t>
    </r>
    <r>
      <rPr>
        <b/>
        <sz val="16"/>
        <color theme="1"/>
        <rFont val="Calibri"/>
        <family val="2"/>
        <scheme val="minor"/>
      </rPr>
      <t>1 es un NIVEL BAJO (poca hambre y poco cansancio) y 10 es un NIVEL ALTO (mucha hambre y mucho cansancio)</t>
    </r>
  </si>
  <si>
    <t>En esta sección debes colocar la cantidad de horas aproximadas que dormiste la noche anterior en cada uno de los días de la semana (noche de Domingo-Lunes metes el dato el día Lunes)</t>
  </si>
  <si>
    <t>¿ENTRENASTE?</t>
  </si>
  <si>
    <t>SI</t>
  </si>
  <si>
    <t>NO</t>
  </si>
  <si>
    <t>SEMANA 4</t>
  </si>
  <si>
    <t>SEMANA 5</t>
  </si>
  <si>
    <t>En esta sección debes colocar en Kilogramos tu peso diario, este, debe ser tomado en la mañana después de haber utilizado el baño y sin haber consumido o bebido nada. Si no puedes tomártelo a esta hora, busca que todos los días te peses a la misma hora y despues de la misma rutina.</t>
  </si>
  <si>
    <t>Miércoles</t>
  </si>
  <si>
    <t>Sábado</t>
  </si>
  <si>
    <t>SEMANA 6</t>
  </si>
  <si>
    <t>En esta sección debes colocar las calorías que consumiste cada uno de los días, bien sea lo que registraste en la aplicación MyfitnessPal</t>
  </si>
  <si>
    <t>En esta sección debes colocar en gramos la cantidad de Proteína, Carbohidratos y Grasas que consumiste cada uno de los días. En esta sección debes colocar las calorías que consumiste cada uno de los días, bien sea lo que registraste en la aplicación MyfitnessPal</t>
  </si>
  <si>
    <t>SEMANA 2</t>
  </si>
  <si>
    <t>MASCULINO</t>
  </si>
  <si>
    <t>LIGERAMENTE ACTIVO</t>
  </si>
  <si>
    <t>AUMENTAR MASA</t>
  </si>
  <si>
    <t>CARLOS DAVID ACOSTA</t>
  </si>
  <si>
    <t>SETS</t>
  </si>
  <si>
    <t>REPS</t>
  </si>
  <si>
    <t>DESCANSO</t>
  </si>
  <si>
    <t>Carga/RIR</t>
  </si>
  <si>
    <t>REALIZADO</t>
  </si>
  <si>
    <t>Reps</t>
  </si>
  <si>
    <t>Carga</t>
  </si>
  <si>
    <t>RIR</t>
  </si>
  <si>
    <t>CARGA</t>
  </si>
  <si>
    <t>A</t>
  </si>
  <si>
    <t>Deadlift</t>
  </si>
  <si>
    <t>3-4 min</t>
  </si>
  <si>
    <t>B</t>
  </si>
  <si>
    <t>2-3 min</t>
  </si>
  <si>
    <t>C</t>
  </si>
  <si>
    <t>12-15</t>
  </si>
  <si>
    <t>1-2 min</t>
  </si>
  <si>
    <t>D</t>
  </si>
  <si>
    <t>6-8</t>
  </si>
  <si>
    <t>E</t>
  </si>
  <si>
    <t>8-10</t>
  </si>
  <si>
    <t>F</t>
  </si>
  <si>
    <t>Bulgarian split squat</t>
  </si>
  <si>
    <t>G1</t>
  </si>
  <si>
    <t>0</t>
  </si>
  <si>
    <t>G2</t>
  </si>
  <si>
    <t>30s</t>
  </si>
  <si>
    <t>1-2MIN</t>
  </si>
  <si>
    <t>10-12</t>
  </si>
  <si>
    <t>15-20</t>
  </si>
  <si>
    <t>15 a 20</t>
  </si>
  <si>
    <t>45s</t>
  </si>
  <si>
    <t>8 a 10</t>
  </si>
  <si>
    <t>Back squat</t>
  </si>
  <si>
    <t>V sit-up</t>
  </si>
  <si>
    <t>G</t>
  </si>
  <si>
    <t>COMENTARIOS - CARDIO x 5 sesiones de x 30 MIN (o un total de 150min a la semana)</t>
  </si>
  <si>
    <r>
      <t xml:space="preserve">Hola CARLOS según tu estado actual para poder cumplir tu objetivo tus requerimientos básicos serian: 
•	Consumir 2300 calorías al día
•	Consumiendo 175 gramos de proteína al día (un mínimo de 165g).
•	Consumiendo un mínimo de g de Grasa de 30g
Si ya leíste la "Guía para la Dieta Flexible (IIFYM)" o cuando la leas, encontraras que el objetivo de este estilo de dieta es poder cambiar cada día de alimentos y recetas, para encontrar mayor variedad y menor restricción, lo que conlleva a una mayor estabilidad y adherencia en el plan, y por ende unos mejores y más estables resultados. Así mismo encuentras en la parte superior los macros estipulados, pero como también se menciona en la guía </t>
    </r>
    <r>
      <rPr>
        <b/>
        <sz val="12"/>
        <color theme="1"/>
        <rFont val="Nasalization Rg"/>
        <family val="2"/>
      </rPr>
      <t xml:space="preserve">lo mas importante </t>
    </r>
    <r>
      <rPr>
        <sz val="12"/>
        <color theme="1"/>
        <rFont val="Calibri"/>
        <family val="2"/>
        <scheme val="minor"/>
      </rPr>
      <t>son las Calorías (que en tu caso son 2300) y la proteína (que óptimamente seria 175g, mínimo 165g), las grasas y los carbohidratos pueden variar dependiendo de tus gustos o el día especifico en el que quieras mas de uno que de otro. Eso si, ten en cuenta que debes como mínimo consumir 30g de grasa, para asegurarte un funcionamiento hormonal optimo.
Es por esta razón que la primera recomendación y el fin ultimo de este proceso es que mis asesorados puedan llegar a utilizar como expertos la aplicación MyFitensPal, para llevar el registro de la alimentación lo mas exacto posible, y poder hacer las variaciones que se desean en el camino.
Pero claro esta que para esto se necesita experiencia y tiempo de aprendizaje, por lo que se que en un principio muchas personas prefieren empezar de una manera menos flexible y con "menor" responsabilidad de tener que decidir o descifrar que alimentos son los indicados para cumplir los objetivos respectivos. Es por esta razón que te presento en este documento las hojas "EJEMPLO", donde podrás encontrar descrito por cada comida que tomas actualmente las posibles variaciones que puedes tener en estas, teniendo en cuenta tu alimentación actual, tus gustos (según los pude percibir mediante el formulario) y claro esta, tus requerimientos.  
Cuando manejes  la aplicación “MyFitnessPal" tendrás TODAS las opciones que quieras disponibles, y podrás registrar tanto los alimentos ejemplos que te propongo como cualquier otro que tu quieras. Por esta razón, te envió la "Guía para la Dieta Flexible (IIFYM)" y el “Instructivo para aprender a utilizar MyFitnessPal”, para que sepas como registrar y conocer que y como debes cumplir tus requerimientos.
Para así, al final de cada día preferiblemente (o al final de semana si todo esta en la aplicación), poder llenar este reporte semanal, donde yo podre ver tu progreso. Por esta razón debes siempre incluir TODO lo que comes, para poder hacer los cambios justos y necesarios.
Para esto, además de colocar tus macros, deberás colocar, tu peso, tus niveles de hambre, cansancio y horas de sueño. Y junto al reporte, debes enviar tres fotos; frontal, lateral y de espaldas, preferiblemente de cuerpo entero o solo torso descubierto. 
¿Porqué las fotos?  El peso solo es una medida más, y puede darse el caso en que tu peso no cambie, pero tu composición corporal si, por lo que debe tenerse un registro fotográfico (o de medidas, pero es más engorroso), para poder evaluar correctamente el proceso.
¿Estás listo?</t>
    </r>
  </si>
  <si>
    <t>SUTITUTO 1</t>
  </si>
  <si>
    <t>SUSTITUTO 2</t>
  </si>
  <si>
    <t>Hack Squat</t>
  </si>
  <si>
    <t>Walking Lunge</t>
  </si>
  <si>
    <t>Decline Plate-Weighted Crunch</t>
  </si>
  <si>
    <t>Barbell Rumanian Dead Lift</t>
  </si>
  <si>
    <t>Plank</t>
  </si>
  <si>
    <t>45° Hyperextension</t>
  </si>
  <si>
    <t>DB Step-Up</t>
  </si>
  <si>
    <t>Goblet Squat</t>
  </si>
  <si>
    <t>Lying Leg Curl</t>
  </si>
  <si>
    <t>Nordic Ham Curl</t>
  </si>
  <si>
    <t>Standing Calf Raise</t>
  </si>
  <si>
    <t>Cable Crunch</t>
  </si>
  <si>
    <t>Machine Crunch</t>
  </si>
  <si>
    <t>DB Rumanian DeadLift</t>
  </si>
  <si>
    <t>Ab Wheel</t>
  </si>
  <si>
    <t>Pallof Press</t>
  </si>
  <si>
    <t>SETS DE CALENTAMIENTO</t>
  </si>
  <si>
    <t>SETS DE TRABAJO</t>
  </si>
  <si>
    <t>Bench Press</t>
  </si>
  <si>
    <t>DIA 2 /// PUSH 1</t>
  </si>
  <si>
    <t>DIA 1 /// LEGS 1</t>
  </si>
  <si>
    <t>DB Bench Press</t>
  </si>
  <si>
    <t>Machine Chest Press</t>
  </si>
  <si>
    <t>Seated DB Shoulder Press</t>
  </si>
  <si>
    <t>Machine Shoulder Press</t>
  </si>
  <si>
    <t>DB Lateral Raise</t>
  </si>
  <si>
    <t>Machine Lateral Raise</t>
  </si>
  <si>
    <t>Single-Arm Tricep Pressdown</t>
  </si>
  <si>
    <t>Single-Arm Cable Tricep Kickback</t>
  </si>
  <si>
    <t>Machine Pulldown</t>
  </si>
  <si>
    <t>Pull-Up</t>
  </si>
  <si>
    <t>Cable Seated Row</t>
  </si>
  <si>
    <t>1-Arm Lat Pull-In</t>
  </si>
  <si>
    <t>Reverse Cable Flye</t>
  </si>
  <si>
    <t>Bent-Over Reverse DB Flye</t>
  </si>
  <si>
    <t>DB Curl</t>
  </si>
  <si>
    <t>Cable Curl</t>
  </si>
  <si>
    <t>Leg Press</t>
  </si>
  <si>
    <t>Barbell Hip Thrust</t>
  </si>
  <si>
    <t>Hanging Leg Raise</t>
  </si>
  <si>
    <t>Reverse Crunch</t>
  </si>
  <si>
    <t>Reverse Pec Deck</t>
  </si>
  <si>
    <t>Meadows Row</t>
  </si>
  <si>
    <t>DB Incline Curl</t>
  </si>
  <si>
    <t>Seated Barbell Shoulder Press</t>
  </si>
  <si>
    <t>Cable Lateral Raise</t>
  </si>
  <si>
    <t>Overhead Triceps Extension</t>
  </si>
  <si>
    <t>DB Skull Crusher</t>
  </si>
  <si>
    <t>BB= Barra o Barbell y DB= Mancuernas o Dumbbell</t>
  </si>
  <si>
    <t>Lat Pulldown</t>
  </si>
  <si>
    <t>Chest-Supported Row</t>
  </si>
  <si>
    <t>Seal Row</t>
  </si>
  <si>
    <t>Face Pull</t>
  </si>
  <si>
    <t>Preacher Curl</t>
  </si>
  <si>
    <t>Spider Curl</t>
  </si>
  <si>
    <t>Bayesian Curl</t>
  </si>
  <si>
    <t>Remo Unlitareal arodillado</t>
  </si>
  <si>
    <t>1-Arm Lat Pull-Down</t>
  </si>
  <si>
    <t>1 leg Deadlift</t>
  </si>
  <si>
    <t>Good Morning</t>
  </si>
  <si>
    <t>Leg Extension</t>
  </si>
  <si>
    <t xml:space="preserve">Roman Chair Leg Raise </t>
  </si>
  <si>
    <t>DB Row</t>
  </si>
  <si>
    <t>Leg Press Calf Raise</t>
  </si>
  <si>
    <t>Skull Crusher</t>
  </si>
  <si>
    <t>Single-Arm Seated Row</t>
  </si>
  <si>
    <t>MACHINE SEATED HIP ABDUCTION</t>
  </si>
  <si>
    <t>CABLE HIP ABDUCTION</t>
  </si>
  <si>
    <t>PLATE HIP ABDUCTION</t>
  </si>
  <si>
    <t>KettleBell Swing</t>
  </si>
  <si>
    <t>Sliding Leg Curl</t>
  </si>
  <si>
    <t>Cable Glute Kick Back</t>
  </si>
  <si>
    <t>Cable Abduction</t>
  </si>
  <si>
    <t>Barbell Hip Thrust con Pausa Arriba de 3s</t>
  </si>
  <si>
    <t>Frog Pump</t>
  </si>
  <si>
    <t>Reverese Hyper</t>
  </si>
  <si>
    <t>Quadrupet Hidrant</t>
  </si>
  <si>
    <t>F1</t>
  </si>
  <si>
    <t>F2</t>
  </si>
  <si>
    <t>D1</t>
  </si>
  <si>
    <t>D2</t>
  </si>
  <si>
    <t>E1</t>
  </si>
  <si>
    <t>E2</t>
  </si>
  <si>
    <t>DIA 3 /// LEGS 2</t>
  </si>
  <si>
    <t>DIA 4 /// PULL 1</t>
  </si>
  <si>
    <t>DIA 5 /// OPCIONAL: LEGS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</si>
</sst>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0.0%"/>
  </numFmts>
  <fonts count="26" x14ac:knownFonts="1">
    <font>
      <sz val="12"/>
      <color theme="1"/>
      <name val="Calibri"/>
      <family val="2"/>
      <scheme val="minor"/>
    </font>
    <font>
      <sz val="18"/>
      <color theme="0"/>
      <name val="Calibri"/>
      <family val="2"/>
      <scheme val="minor"/>
    </font>
    <font>
      <sz val="18"/>
      <color theme="1"/>
      <name val="Calibri"/>
      <family val="2"/>
      <scheme val="minor"/>
    </font>
    <font>
      <b/>
      <sz val="18"/>
      <color theme="0"/>
      <name val="Calibri"/>
      <family val="2"/>
      <scheme val="minor"/>
    </font>
    <font>
      <sz val="18"/>
      <color rgb="FF046E07"/>
      <name val="Calibri"/>
      <family val="2"/>
      <scheme val="minor"/>
    </font>
    <font>
      <sz val="16"/>
      <color theme="1"/>
      <name val="Calibri"/>
      <family val="2"/>
      <scheme val="minor"/>
    </font>
    <font>
      <b/>
      <sz val="16"/>
      <color theme="1"/>
      <name val="Calibri"/>
      <family val="2"/>
      <scheme val="minor"/>
    </font>
    <font>
      <b/>
      <u/>
      <sz val="16"/>
      <color rgb="FF000000"/>
      <name val="Calibri"/>
      <family val="2"/>
    </font>
    <font>
      <b/>
      <sz val="12"/>
      <color theme="1"/>
      <name val="Calibri"/>
      <family val="2"/>
      <scheme val="minor"/>
    </font>
    <font>
      <b/>
      <sz val="16"/>
      <color theme="0"/>
      <name val="Calibri"/>
      <family val="2"/>
      <scheme val="minor"/>
    </font>
    <font>
      <sz val="18"/>
      <name val="Calibri"/>
      <family val="2"/>
      <scheme val="minor"/>
    </font>
    <font>
      <sz val="20"/>
      <color theme="1"/>
      <name val="Calibri"/>
      <family val="2"/>
      <scheme val="minor"/>
    </font>
    <font>
      <b/>
      <sz val="12"/>
      <color rgb="FF05B30D"/>
      <name val="Calibri"/>
      <family val="2"/>
      <scheme val="minor"/>
    </font>
    <font>
      <b/>
      <u/>
      <sz val="14"/>
      <color rgb="FF000000"/>
      <name val="Calibri"/>
      <family val="2"/>
    </font>
    <font>
      <sz val="18"/>
      <color rgb="FF000000"/>
      <name val="Calibri"/>
      <family val="2"/>
      <scheme val="minor"/>
    </font>
    <font>
      <sz val="18"/>
      <color rgb="FFFFFFFF"/>
      <name val="Calibri"/>
      <family val="2"/>
      <scheme val="minor"/>
    </font>
    <font>
      <b/>
      <sz val="18"/>
      <color rgb="FFFFFFFF"/>
      <name val="Calibri"/>
      <family val="2"/>
      <scheme val="minor"/>
    </font>
    <font>
      <u/>
      <sz val="12"/>
      <color theme="10"/>
      <name val="Calibri"/>
      <family val="2"/>
      <scheme val="minor"/>
    </font>
    <font>
      <b/>
      <sz val="18"/>
      <color theme="1"/>
      <name val="Calibri"/>
      <family val="2"/>
      <scheme val="minor"/>
    </font>
    <font>
      <b/>
      <sz val="26"/>
      <color theme="0"/>
      <name val="Calibri"/>
      <family val="2"/>
      <scheme val="minor"/>
    </font>
    <font>
      <sz val="26"/>
      <color theme="1"/>
      <name val="Calibri"/>
      <family val="2"/>
      <scheme val="minor"/>
    </font>
    <font>
      <b/>
      <sz val="22"/>
      <color theme="0"/>
      <name val="Calibri"/>
      <family val="2"/>
      <scheme val="minor"/>
    </font>
    <font>
      <b/>
      <sz val="18"/>
      <name val="Calibri"/>
      <family val="2"/>
      <scheme val="minor"/>
    </font>
    <font>
      <b/>
      <sz val="16"/>
      <name val="Calibri"/>
      <family val="2"/>
      <scheme val="minor"/>
    </font>
    <font>
      <b/>
      <sz val="12"/>
      <color theme="1"/>
      <name val="Nasalization Rg"/>
      <family val="2"/>
    </font>
    <font>
      <sz val="8"/>
      <name val="Calibri"/>
      <family val="2"/>
      <scheme val="minor"/>
    </font>
  </fonts>
  <fills count="18">
    <fill>
      <patternFill patternType="none"/>
    </fill>
    <fill>
      <patternFill patternType="gray125"/>
    </fill>
    <fill>
      <patternFill patternType="solid">
        <fgColor rgb="FF484846"/>
        <bgColor indexed="64"/>
      </patternFill>
    </fill>
    <fill>
      <patternFill patternType="solid">
        <fgColor theme="0"/>
        <bgColor indexed="64"/>
      </patternFill>
    </fill>
    <fill>
      <patternFill patternType="solid">
        <fgColor rgb="FF045C05"/>
        <bgColor indexed="64"/>
      </patternFill>
    </fill>
    <fill>
      <patternFill patternType="solid">
        <fgColor rgb="FF046E07"/>
        <bgColor indexed="64"/>
      </patternFill>
    </fill>
    <fill>
      <patternFill patternType="solid">
        <fgColor rgb="FFC00000"/>
        <bgColor indexed="64"/>
      </patternFill>
    </fill>
    <fill>
      <patternFill patternType="solid">
        <fgColor theme="7"/>
        <bgColor indexed="64"/>
      </patternFill>
    </fill>
    <fill>
      <patternFill patternType="solid">
        <fgColor rgb="FF048B09"/>
        <bgColor indexed="64"/>
      </patternFill>
    </fill>
    <fill>
      <patternFill patternType="solid">
        <fgColor theme="2"/>
        <bgColor indexed="64"/>
      </patternFill>
    </fill>
    <fill>
      <patternFill patternType="solid">
        <fgColor theme="2" tint="-0.89999084444715716"/>
        <bgColor indexed="64"/>
      </patternFill>
    </fill>
    <fill>
      <patternFill patternType="solid">
        <fgColor theme="7" tint="0.79998168889431442"/>
        <bgColor rgb="FF000000"/>
      </patternFill>
    </fill>
    <fill>
      <patternFill patternType="solid">
        <fgColor theme="7" tint="0.79998168889431442"/>
        <bgColor indexed="64"/>
      </patternFill>
    </fill>
    <fill>
      <patternFill patternType="solid">
        <fgColor rgb="FF046E07"/>
        <bgColor rgb="FF000000"/>
      </patternFill>
    </fill>
    <fill>
      <patternFill patternType="solid">
        <fgColor rgb="FFFFC000"/>
        <bgColor rgb="FF000000"/>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FF00"/>
        <bgColor indexed="64"/>
      </patternFill>
    </fill>
  </fills>
  <borders count="4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auto="1"/>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right/>
      <top style="medium">
        <color auto="1"/>
      </top>
      <bottom/>
      <diagonal/>
    </border>
    <border>
      <left/>
      <right/>
      <top style="medium">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right style="medium">
        <color auto="1"/>
      </right>
      <top style="medium">
        <color auto="1"/>
      </top>
      <bottom/>
      <diagonal/>
    </border>
    <border>
      <left style="medium">
        <color auto="1"/>
      </left>
      <right/>
      <top style="medium">
        <color auto="1"/>
      </top>
      <bottom/>
      <diagonal/>
    </border>
    <border>
      <left style="thin">
        <color auto="1"/>
      </left>
      <right/>
      <top style="thin">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style="medium">
        <color auto="1"/>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thin">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auto="1"/>
      </bottom>
      <diagonal/>
    </border>
    <border>
      <left/>
      <right style="medium">
        <color rgb="FF000000"/>
      </right>
      <top style="medium">
        <color indexed="64"/>
      </top>
      <bottom style="medium">
        <color indexed="64"/>
      </bottom>
      <diagonal/>
    </border>
    <border>
      <left style="thin">
        <color indexed="64"/>
      </left>
      <right/>
      <top style="medium">
        <color auto="1"/>
      </top>
      <bottom/>
      <diagonal/>
    </border>
    <border>
      <left/>
      <right style="medium">
        <color indexed="64"/>
      </right>
      <top/>
      <bottom style="thin">
        <color indexed="64"/>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2">
    <xf numFmtId="0" fontId="0" fillId="0" borderId="0"/>
    <xf numFmtId="0" fontId="17" fillId="0" borderId="0" applyNumberFormat="0" applyFill="0" applyBorder="0" applyAlignment="0" applyProtection="0"/>
  </cellStyleXfs>
  <cellXfs count="174">
    <xf numFmtId="0" fontId="0" fillId="0" borderId="0" xfId="0"/>
    <xf numFmtId="0" fontId="2" fillId="3" borderId="0" xfId="0" applyFont="1" applyFill="1"/>
    <xf numFmtId="0" fontId="2" fillId="3" borderId="1" xfId="0" applyFont="1" applyFill="1" applyBorder="1"/>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2" borderId="7" xfId="0" applyFont="1" applyFill="1" applyBorder="1"/>
    <xf numFmtId="14" fontId="3" fillId="2" borderId="10" xfId="0" applyNumberFormat="1" applyFont="1" applyFill="1" applyBorder="1" applyAlignment="1">
      <alignment horizontal="left"/>
    </xf>
    <xf numFmtId="0" fontId="3" fillId="2" borderId="0" xfId="0" applyFont="1" applyFill="1"/>
    <xf numFmtId="0" fontId="3" fillId="6" borderId="2" xfId="0" applyFont="1" applyFill="1" applyBorder="1" applyAlignment="1">
      <alignment horizontal="center" vertical="center"/>
    </xf>
    <xf numFmtId="0" fontId="2" fillId="6" borderId="8" xfId="0" applyFont="1" applyFill="1" applyBorder="1"/>
    <xf numFmtId="0" fontId="2" fillId="6" borderId="1" xfId="0" applyFont="1" applyFill="1" applyBorder="1"/>
    <xf numFmtId="0" fontId="3" fillId="6" borderId="2" xfId="0" applyFont="1" applyFill="1" applyBorder="1" applyAlignment="1">
      <alignment horizontal="center" vertical="center" wrapText="1"/>
    </xf>
    <xf numFmtId="14" fontId="3" fillId="2" borderId="12" xfId="0" applyNumberFormat="1" applyFont="1" applyFill="1" applyBorder="1" applyAlignment="1">
      <alignment horizontal="left"/>
    </xf>
    <xf numFmtId="0" fontId="3" fillId="5" borderId="15" xfId="0" applyFont="1" applyFill="1" applyBorder="1" applyAlignment="1">
      <alignment horizontal="center" vertical="center"/>
    </xf>
    <xf numFmtId="0" fontId="2" fillId="3" borderId="0" xfId="0" applyFont="1" applyFill="1" applyAlignment="1">
      <alignment vertical="center" wrapText="1"/>
    </xf>
    <xf numFmtId="0" fontId="2" fillId="3" borderId="0" xfId="0" applyFont="1" applyFill="1" applyAlignment="1">
      <alignment wrapText="1"/>
    </xf>
    <xf numFmtId="0" fontId="0" fillId="0" borderId="0" xfId="0" applyAlignment="1">
      <alignment horizontal="center" vertical="center"/>
    </xf>
    <xf numFmtId="9" fontId="0" fillId="0" borderId="1" xfId="0" applyNumberFormat="1" applyBorder="1"/>
    <xf numFmtId="1" fontId="0" fillId="0" borderId="1" xfId="0" applyNumberFormat="1" applyBorder="1"/>
    <xf numFmtId="0" fontId="9" fillId="8" borderId="28" xfId="0" applyFont="1" applyFill="1" applyBorder="1" applyAlignment="1">
      <alignment vertical="center"/>
    </xf>
    <xf numFmtId="0" fontId="9" fillId="8" borderId="22" xfId="0" applyFont="1" applyFill="1" applyBorder="1" applyAlignment="1">
      <alignment vertical="center"/>
    </xf>
    <xf numFmtId="0" fontId="9" fillId="8" borderId="20" xfId="0" applyFont="1" applyFill="1" applyBorder="1" applyAlignment="1">
      <alignment vertical="center"/>
    </xf>
    <xf numFmtId="0" fontId="12" fillId="0" borderId="28" xfId="0" applyFont="1" applyBorder="1" applyAlignment="1">
      <alignment vertical="center"/>
    </xf>
    <xf numFmtId="0" fontId="0" fillId="0" borderId="31" xfId="0" applyBorder="1"/>
    <xf numFmtId="0" fontId="12" fillId="0" borderId="22" xfId="0" applyFont="1" applyBorder="1" applyAlignment="1">
      <alignment vertical="center"/>
    </xf>
    <xf numFmtId="0" fontId="0" fillId="0" borderId="21" xfId="0" applyBorder="1"/>
    <xf numFmtId="0" fontId="12" fillId="0" borderId="20" xfId="0" applyFont="1" applyBorder="1" applyAlignment="1">
      <alignment vertical="center"/>
    </xf>
    <xf numFmtId="9" fontId="0" fillId="0" borderId="19" xfId="0" applyNumberFormat="1" applyBorder="1"/>
    <xf numFmtId="1" fontId="0" fillId="0" borderId="19" xfId="0" applyNumberFormat="1" applyBorder="1"/>
    <xf numFmtId="0" fontId="0" fillId="0" borderId="18" xfId="0" applyBorder="1"/>
    <xf numFmtId="1" fontId="3" fillId="5" borderId="36" xfId="0" applyNumberFormat="1" applyFont="1" applyFill="1" applyBorder="1" applyAlignment="1">
      <alignment horizontal="center" vertical="center"/>
    </xf>
    <xf numFmtId="0" fontId="3" fillId="5" borderId="11" xfId="0" applyFont="1" applyFill="1" applyBorder="1" applyAlignment="1">
      <alignment horizontal="center" vertical="center"/>
    </xf>
    <xf numFmtId="0" fontId="2" fillId="3" borderId="2" xfId="0" applyFont="1" applyFill="1" applyBorder="1"/>
    <xf numFmtId="1" fontId="2" fillId="3" borderId="0" xfId="0" applyNumberFormat="1" applyFont="1" applyFill="1"/>
    <xf numFmtId="0" fontId="4" fillId="5" borderId="29" xfId="0" applyFont="1" applyFill="1" applyBorder="1"/>
    <xf numFmtId="0" fontId="4" fillId="5" borderId="0" xfId="0" applyFont="1" applyFill="1"/>
    <xf numFmtId="0" fontId="3" fillId="2" borderId="32" xfId="0" applyFont="1" applyFill="1" applyBorder="1"/>
    <xf numFmtId="0" fontId="3" fillId="2" borderId="38" xfId="0" applyFont="1" applyFill="1" applyBorder="1"/>
    <xf numFmtId="0" fontId="3" fillId="2" borderId="33" xfId="0" applyFont="1" applyFill="1" applyBorder="1"/>
    <xf numFmtId="14" fontId="3" fillId="2" borderId="39" xfId="0" applyNumberFormat="1" applyFont="1" applyFill="1" applyBorder="1" applyAlignment="1">
      <alignment horizontal="left"/>
    </xf>
    <xf numFmtId="0" fontId="2" fillId="3" borderId="19" xfId="0" applyFont="1" applyFill="1" applyBorder="1"/>
    <xf numFmtId="0" fontId="2" fillId="0" borderId="1" xfId="0" applyFont="1" applyBorder="1"/>
    <xf numFmtId="0" fontId="2" fillId="0" borderId="2" xfId="0" applyFont="1" applyBorder="1"/>
    <xf numFmtId="0" fontId="2" fillId="0" borderId="19" xfId="0" applyFont="1" applyBorder="1"/>
    <xf numFmtId="0" fontId="1" fillId="3" borderId="0" xfId="0" applyFont="1" applyFill="1"/>
    <xf numFmtId="0" fontId="3" fillId="5" borderId="36" xfId="0" applyFont="1" applyFill="1" applyBorder="1" applyAlignment="1">
      <alignment horizontal="center" vertical="center"/>
    </xf>
    <xf numFmtId="0" fontId="2" fillId="10" borderId="0" xfId="0" applyFont="1" applyFill="1"/>
    <xf numFmtId="1" fontId="2" fillId="10" borderId="0" xfId="0" applyNumberFormat="1" applyFont="1" applyFill="1"/>
    <xf numFmtId="2" fontId="3" fillId="7" borderId="25" xfId="0" applyNumberFormat="1" applyFont="1" applyFill="1" applyBorder="1" applyAlignment="1">
      <alignment horizontal="center" vertical="center"/>
    </xf>
    <xf numFmtId="0" fontId="0" fillId="9" borderId="18" xfId="0" applyFill="1" applyBorder="1" applyAlignment="1">
      <alignment horizontal="center" vertical="center"/>
    </xf>
    <xf numFmtId="0" fontId="0" fillId="9" borderId="21" xfId="0" applyFill="1" applyBorder="1" applyAlignment="1">
      <alignment horizontal="center" vertical="center"/>
    </xf>
    <xf numFmtId="0" fontId="0" fillId="9" borderId="21" xfId="0" applyFill="1" applyBorder="1" applyAlignment="1">
      <alignment horizontal="center"/>
    </xf>
    <xf numFmtId="0" fontId="10" fillId="0" borderId="1" xfId="0" applyFont="1" applyBorder="1"/>
    <xf numFmtId="1" fontId="14" fillId="11" borderId="35" xfId="0" applyNumberFormat="1" applyFont="1" applyFill="1" applyBorder="1"/>
    <xf numFmtId="165" fontId="14" fillId="11" borderId="35" xfId="0" applyNumberFormat="1" applyFont="1" applyFill="1" applyBorder="1"/>
    <xf numFmtId="1" fontId="2" fillId="12" borderId="35" xfId="0" applyNumberFormat="1" applyFont="1" applyFill="1" applyBorder="1"/>
    <xf numFmtId="165" fontId="2" fillId="12" borderId="30" xfId="0" applyNumberFormat="1" applyFont="1" applyFill="1" applyBorder="1"/>
    <xf numFmtId="1" fontId="2" fillId="12" borderId="30" xfId="0" applyNumberFormat="1" applyFont="1" applyFill="1" applyBorder="1"/>
    <xf numFmtId="0" fontId="4" fillId="13" borderId="29" xfId="0" applyFont="1" applyFill="1" applyBorder="1"/>
    <xf numFmtId="0" fontId="4" fillId="13" borderId="0" xfId="0" applyFont="1" applyFill="1"/>
    <xf numFmtId="0" fontId="16" fillId="13" borderId="15" xfId="0" applyFont="1" applyFill="1" applyBorder="1" applyAlignment="1">
      <alignment horizontal="center" vertical="center"/>
    </xf>
    <xf numFmtId="0" fontId="16" fillId="13" borderId="42" xfId="0" applyFont="1" applyFill="1" applyBorder="1" applyAlignment="1">
      <alignment horizontal="center" vertical="center"/>
    </xf>
    <xf numFmtId="0" fontId="16" fillId="13" borderId="12" xfId="0" applyFont="1" applyFill="1" applyBorder="1" applyAlignment="1">
      <alignment horizontal="center" vertical="center"/>
    </xf>
    <xf numFmtId="0" fontId="16" fillId="13" borderId="24" xfId="0" applyFont="1" applyFill="1" applyBorder="1" applyAlignment="1">
      <alignment horizontal="center" vertical="center"/>
    </xf>
    <xf numFmtId="1" fontId="16" fillId="13" borderId="24" xfId="0" applyNumberFormat="1" applyFont="1" applyFill="1" applyBorder="1" applyAlignment="1">
      <alignment horizontal="center" vertical="center"/>
    </xf>
    <xf numFmtId="2" fontId="16" fillId="14" borderId="16" xfId="0" applyNumberFormat="1" applyFont="1" applyFill="1" applyBorder="1" applyAlignment="1">
      <alignment horizontal="center" vertical="center"/>
    </xf>
    <xf numFmtId="166" fontId="0" fillId="0" borderId="0" xfId="0" applyNumberFormat="1"/>
    <xf numFmtId="0" fontId="8" fillId="9" borderId="31" xfId="0" applyFont="1" applyFill="1" applyBorder="1" applyAlignment="1">
      <alignment horizontal="center" vertical="center" wrapText="1"/>
    </xf>
    <xf numFmtId="0" fontId="18" fillId="3" borderId="0" xfId="0" applyFont="1" applyFill="1"/>
    <xf numFmtId="0" fontId="19" fillId="4" borderId="13" xfId="0" applyFont="1" applyFill="1" applyBorder="1" applyAlignment="1">
      <alignment vertical="center"/>
    </xf>
    <xf numFmtId="0" fontId="19" fillId="4" borderId="17" xfId="0" applyFont="1" applyFill="1" applyBorder="1" applyAlignment="1">
      <alignment vertical="center"/>
    </xf>
    <xf numFmtId="1" fontId="19" fillId="4" borderId="17" xfId="0" applyNumberFormat="1" applyFont="1" applyFill="1" applyBorder="1" applyAlignment="1">
      <alignment vertical="center"/>
    </xf>
    <xf numFmtId="0" fontId="0" fillId="3" borderId="0" xfId="0" applyFill="1"/>
    <xf numFmtId="0" fontId="2" fillId="3" borderId="0" xfId="0" applyFont="1" applyFill="1" applyAlignment="1">
      <alignment horizontal="center" vertical="center"/>
    </xf>
    <xf numFmtId="0" fontId="19" fillId="2" borderId="13" xfId="0" applyFont="1" applyFill="1" applyBorder="1" applyAlignment="1">
      <alignment vertical="center"/>
    </xf>
    <xf numFmtId="0" fontId="19" fillId="2" borderId="17" xfId="0" applyFont="1" applyFill="1" applyBorder="1" applyAlignment="1">
      <alignment vertical="center"/>
    </xf>
    <xf numFmtId="0" fontId="19" fillId="2" borderId="14" xfId="0" applyFont="1" applyFill="1" applyBorder="1" applyAlignment="1">
      <alignment vertical="center"/>
    </xf>
    <xf numFmtId="0" fontId="20" fillId="3" borderId="0" xfId="0" applyFont="1" applyFill="1" applyAlignment="1">
      <alignment horizontal="center" vertical="center"/>
    </xf>
    <xf numFmtId="0" fontId="10" fillId="0" borderId="0" xfId="0" applyFont="1" applyAlignment="1">
      <alignment horizontal="center" vertical="center"/>
    </xf>
    <xf numFmtId="0" fontId="10" fillId="3" borderId="0" xfId="0" applyFont="1" applyFill="1" applyAlignment="1">
      <alignment horizontal="center" vertical="center"/>
    </xf>
    <xf numFmtId="1" fontId="10" fillId="3" borderId="0" xfId="0" applyNumberFormat="1" applyFont="1" applyFill="1" applyAlignment="1">
      <alignment horizontal="center" vertical="center"/>
    </xf>
    <xf numFmtId="0" fontId="22" fillId="15" borderId="7" xfId="0" applyFont="1" applyFill="1" applyBorder="1" applyAlignment="1">
      <alignment horizontal="center" vertical="center"/>
    </xf>
    <xf numFmtId="0" fontId="10" fillId="15" borderId="1" xfId="0" applyFont="1" applyFill="1" applyBorder="1" applyAlignment="1">
      <alignment horizontal="center" vertical="center"/>
    </xf>
    <xf numFmtId="0" fontId="22" fillId="16" borderId="7" xfId="0" applyFont="1" applyFill="1" applyBorder="1" applyAlignment="1">
      <alignment horizontal="center" vertical="center"/>
    </xf>
    <xf numFmtId="0" fontId="10" fillId="16" borderId="1" xfId="0" applyFont="1" applyFill="1" applyBorder="1" applyAlignment="1">
      <alignment horizontal="center" vertical="center"/>
    </xf>
    <xf numFmtId="0" fontId="10" fillId="3" borderId="0" xfId="0" applyFont="1" applyFill="1" applyAlignment="1">
      <alignment horizontal="left" vertical="center"/>
    </xf>
    <xf numFmtId="0" fontId="22" fillId="15" borderId="1" xfId="0" applyFont="1" applyFill="1" applyBorder="1" applyAlignment="1">
      <alignment horizontal="center" vertical="center"/>
    </xf>
    <xf numFmtId="1" fontId="10" fillId="15" borderId="1" xfId="0" applyNumberFormat="1" applyFont="1" applyFill="1" applyBorder="1" applyAlignment="1">
      <alignment horizontal="center" vertical="center"/>
    </xf>
    <xf numFmtId="1" fontId="0" fillId="0" borderId="0" xfId="0" applyNumberFormat="1"/>
    <xf numFmtId="0" fontId="0" fillId="9" borderId="0" xfId="0" applyFill="1" applyAlignment="1">
      <alignment horizontal="center" vertical="center"/>
    </xf>
    <xf numFmtId="0" fontId="2" fillId="17" borderId="0" xfId="0" applyFont="1" applyFill="1"/>
    <xf numFmtId="0" fontId="23" fillId="15" borderId="1" xfId="1" applyFont="1" applyFill="1" applyBorder="1" applyAlignment="1">
      <alignment horizontal="center" vertical="center"/>
    </xf>
    <xf numFmtId="0" fontId="23" fillId="16" borderId="1" xfId="1" applyFont="1" applyFill="1" applyBorder="1" applyAlignment="1">
      <alignment horizontal="center" vertical="center"/>
    </xf>
    <xf numFmtId="1" fontId="23" fillId="15" borderId="1" xfId="1" applyNumberFormat="1" applyFont="1" applyFill="1" applyBorder="1" applyAlignment="1">
      <alignment horizontal="center" vertical="center"/>
    </xf>
    <xf numFmtId="0" fontId="23" fillId="3" borderId="0" xfId="0" applyFont="1" applyFill="1"/>
    <xf numFmtId="0" fontId="23" fillId="17" borderId="0" xfId="0" applyFont="1" applyFill="1"/>
    <xf numFmtId="0" fontId="23" fillId="4" borderId="17" xfId="0" applyFont="1" applyFill="1" applyBorder="1" applyAlignment="1">
      <alignment vertical="center"/>
    </xf>
    <xf numFmtId="0" fontId="23" fillId="0" borderId="0" xfId="0" applyFont="1"/>
    <xf numFmtId="0" fontId="23" fillId="16" borderId="1" xfId="0" applyFont="1" applyFill="1" applyBorder="1" applyAlignment="1">
      <alignment horizontal="center" vertical="center"/>
    </xf>
    <xf numFmtId="0" fontId="9" fillId="8" borderId="25" xfId="0" applyFont="1" applyFill="1" applyBorder="1" applyAlignment="1">
      <alignment horizontal="center" vertical="center"/>
    </xf>
    <xf numFmtId="0" fontId="9" fillId="8" borderId="16" xfId="0" applyFont="1" applyFill="1" applyBorder="1" applyAlignment="1">
      <alignment horizontal="center" vertical="center"/>
    </xf>
    <xf numFmtId="0" fontId="9" fillId="8" borderId="9" xfId="0" applyFont="1" applyFill="1" applyBorder="1" applyAlignment="1">
      <alignment horizontal="center" vertical="center"/>
    </xf>
    <xf numFmtId="0" fontId="0" fillId="0" borderId="27" xfId="0" applyBorder="1" applyAlignment="1">
      <alignment horizontal="center"/>
    </xf>
    <xf numFmtId="0" fontId="0" fillId="0" borderId="0" xfId="0" applyAlignment="1">
      <alignment horizontal="left" vertical="top" wrapText="1"/>
    </xf>
    <xf numFmtId="0" fontId="11" fillId="3" borderId="0" xfId="0" applyFont="1" applyFill="1" applyAlignment="1">
      <alignment horizontal="center" vertical="center" wrapText="1"/>
    </xf>
    <xf numFmtId="0" fontId="2" fillId="3" borderId="0" xfId="0" applyFont="1" applyFill="1" applyAlignment="1">
      <alignment horizontal="center" vertical="center" wrapText="1"/>
    </xf>
    <xf numFmtId="0" fontId="5" fillId="3" borderId="0" xfId="0" applyFont="1" applyFill="1" applyAlignment="1">
      <alignment horizontal="center" vertical="center" wrapText="1"/>
    </xf>
    <xf numFmtId="0" fontId="2" fillId="3" borderId="0" xfId="0" applyFont="1" applyFill="1" applyAlignment="1">
      <alignment horizontal="center" wrapText="1"/>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5" xfId="0" applyFont="1" applyFill="1" applyBorder="1" applyAlignment="1">
      <alignment horizontal="center"/>
    </xf>
    <xf numFmtId="164" fontId="3" fillId="5" borderId="6" xfId="0" applyNumberFormat="1" applyFont="1" applyFill="1" applyBorder="1" applyAlignment="1">
      <alignment horizontal="center"/>
    </xf>
    <xf numFmtId="164" fontId="3" fillId="5" borderId="9" xfId="0" applyNumberFormat="1" applyFont="1" applyFill="1" applyBorder="1" applyAlignment="1">
      <alignment horizontal="center"/>
    </xf>
    <xf numFmtId="0" fontId="2" fillId="3" borderId="1" xfId="0" applyFont="1" applyFill="1" applyBorder="1" applyAlignment="1">
      <alignment horizontal="center"/>
    </xf>
    <xf numFmtId="0" fontId="2" fillId="3" borderId="21" xfId="0" applyFont="1" applyFill="1" applyBorder="1" applyAlignment="1">
      <alignment horizontal="center"/>
    </xf>
    <xf numFmtId="0" fontId="2" fillId="3" borderId="19" xfId="0" applyFont="1" applyFill="1" applyBorder="1" applyAlignment="1">
      <alignment horizontal="center"/>
    </xf>
    <xf numFmtId="0" fontId="2" fillId="3" borderId="18" xfId="0" applyFont="1" applyFill="1" applyBorder="1" applyAlignment="1">
      <alignment horizontal="center"/>
    </xf>
    <xf numFmtId="164" fontId="3" fillId="5" borderId="13" xfId="0" applyNumberFormat="1" applyFont="1" applyFill="1" applyBorder="1" applyAlignment="1">
      <alignment horizontal="center"/>
    </xf>
    <xf numFmtId="164" fontId="3" fillId="5" borderId="14" xfId="0" applyNumberFormat="1" applyFont="1" applyFill="1" applyBorder="1" applyAlignment="1">
      <alignment horizontal="center"/>
    </xf>
    <xf numFmtId="0" fontId="3" fillId="5" borderId="2"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1" xfId="0" applyFont="1" applyFill="1" applyBorder="1" applyAlignment="1">
      <alignment horizontal="center" vertical="center" wrapText="1"/>
    </xf>
    <xf numFmtId="0" fontId="16" fillId="13" borderId="34" xfId="0" applyFont="1" applyFill="1" applyBorder="1" applyAlignment="1">
      <alignment horizontal="center" vertical="center" wrapText="1"/>
    </xf>
    <xf numFmtId="0" fontId="16" fillId="13" borderId="2" xfId="0" applyFont="1" applyFill="1" applyBorder="1" applyAlignment="1">
      <alignment horizontal="center" vertical="center" wrapText="1"/>
    </xf>
    <xf numFmtId="0" fontId="1" fillId="5" borderId="13" xfId="0" applyFont="1" applyFill="1" applyBorder="1" applyAlignment="1">
      <alignment horizontal="center"/>
    </xf>
    <xf numFmtId="0" fontId="1" fillId="5" borderId="17" xfId="0" applyFont="1" applyFill="1" applyBorder="1" applyAlignment="1">
      <alignment horizontal="center"/>
    </xf>
    <xf numFmtId="0" fontId="1" fillId="5" borderId="14" xfId="0" applyFont="1" applyFill="1" applyBorder="1" applyAlignment="1">
      <alignment horizontal="center"/>
    </xf>
    <xf numFmtId="0" fontId="16" fillId="13" borderId="44" xfId="0" applyFont="1" applyFill="1" applyBorder="1" applyAlignment="1">
      <alignment horizontal="center" vertical="center" wrapText="1"/>
    </xf>
    <xf numFmtId="0" fontId="16" fillId="13" borderId="16" xfId="0" applyFont="1" applyFill="1" applyBorder="1" applyAlignment="1">
      <alignment horizontal="center" vertical="center" wrapText="1"/>
    </xf>
    <xf numFmtId="0" fontId="16" fillId="13" borderId="24" xfId="0" applyFont="1" applyFill="1" applyBorder="1" applyAlignment="1">
      <alignment horizontal="center" vertical="center" wrapText="1"/>
    </xf>
    <xf numFmtId="0" fontId="16" fillId="13" borderId="11" xfId="0" applyFont="1" applyFill="1" applyBorder="1" applyAlignment="1">
      <alignment horizontal="center" vertical="center" wrapText="1"/>
    </xf>
    <xf numFmtId="0" fontId="16" fillId="13" borderId="12" xfId="0" applyFont="1" applyFill="1" applyBorder="1" applyAlignment="1">
      <alignment horizontal="center" vertical="center" wrapText="1"/>
    </xf>
    <xf numFmtId="0" fontId="16" fillId="13" borderId="45" xfId="0" applyFont="1" applyFill="1" applyBorder="1" applyAlignment="1">
      <alignment horizontal="center" vertical="center" wrapText="1"/>
    </xf>
    <xf numFmtId="0" fontId="0" fillId="9" borderId="26" xfId="0" applyFill="1" applyBorder="1" applyAlignment="1">
      <alignment horizontal="center" vertical="center"/>
    </xf>
    <xf numFmtId="0" fontId="0" fillId="9" borderId="41" xfId="0" applyFill="1" applyBorder="1" applyAlignment="1">
      <alignment horizontal="center" vertical="center"/>
    </xf>
    <xf numFmtId="0" fontId="0" fillId="9" borderId="6" xfId="0" applyFill="1" applyBorder="1" applyAlignment="1">
      <alignment horizontal="center" vertical="center"/>
    </xf>
    <xf numFmtId="0" fontId="0" fillId="9" borderId="37" xfId="0" applyFill="1" applyBorder="1" applyAlignment="1">
      <alignment horizontal="center" vertical="center"/>
    </xf>
    <xf numFmtId="0" fontId="0" fillId="9" borderId="7" xfId="0" applyFill="1" applyBorder="1" applyAlignment="1">
      <alignment horizontal="center" vertical="center"/>
    </xf>
    <xf numFmtId="0" fontId="0" fillId="9" borderId="40" xfId="0" applyFill="1" applyBorder="1" applyAlignment="1">
      <alignment horizontal="center" vertical="center"/>
    </xf>
    <xf numFmtId="0" fontId="15" fillId="13" borderId="13" xfId="0" applyFont="1" applyFill="1" applyBorder="1" applyAlignment="1">
      <alignment horizontal="center"/>
    </xf>
    <xf numFmtId="0" fontId="15" fillId="13" borderId="17" xfId="0" applyFont="1" applyFill="1" applyBorder="1" applyAlignment="1">
      <alignment horizontal="center"/>
    </xf>
    <xf numFmtId="0" fontId="15" fillId="13" borderId="43" xfId="0" applyFont="1" applyFill="1" applyBorder="1" applyAlignment="1">
      <alignment horizontal="center"/>
    </xf>
    <xf numFmtId="0" fontId="2" fillId="3" borderId="7" xfId="0" applyFont="1" applyFill="1" applyBorder="1" applyAlignment="1">
      <alignment horizontal="center"/>
    </xf>
    <xf numFmtId="0" fontId="2" fillId="3" borderId="10" xfId="0" applyFont="1" applyFill="1" applyBorder="1" applyAlignment="1">
      <alignment horizontal="center"/>
    </xf>
    <xf numFmtId="0" fontId="2" fillId="3" borderId="40" xfId="0" applyFont="1" applyFill="1" applyBorder="1" applyAlignment="1">
      <alignment horizontal="center"/>
    </xf>
    <xf numFmtId="164" fontId="16" fillId="13" borderId="13" xfId="0" applyNumberFormat="1" applyFont="1" applyFill="1" applyBorder="1" applyAlignment="1">
      <alignment horizontal="center"/>
    </xf>
    <xf numFmtId="164" fontId="16" fillId="13" borderId="43" xfId="0" applyNumberFormat="1" applyFont="1" applyFill="1" applyBorder="1" applyAlignment="1">
      <alignment horizontal="center"/>
    </xf>
    <xf numFmtId="0" fontId="15" fillId="13" borderId="14" xfId="0" applyFont="1" applyFill="1" applyBorder="1" applyAlignment="1">
      <alignment horizontal="center"/>
    </xf>
    <xf numFmtId="0" fontId="2" fillId="3" borderId="2" xfId="0" applyFont="1" applyFill="1" applyBorder="1" applyAlignment="1">
      <alignment horizontal="center"/>
    </xf>
    <xf numFmtId="0" fontId="2" fillId="3" borderId="23" xfId="0" applyFont="1" applyFill="1" applyBorder="1" applyAlignment="1">
      <alignment horizontal="center"/>
    </xf>
    <xf numFmtId="0" fontId="19" fillId="4" borderId="13" xfId="0" applyFont="1" applyFill="1" applyBorder="1" applyAlignment="1">
      <alignment horizontal="center" vertical="center"/>
    </xf>
    <xf numFmtId="0" fontId="19" fillId="4" borderId="17" xfId="0" applyFont="1" applyFill="1" applyBorder="1" applyAlignment="1">
      <alignment horizontal="center" vertical="center"/>
    </xf>
    <xf numFmtId="0" fontId="19" fillId="4" borderId="14" xfId="0" applyFont="1" applyFill="1" applyBorder="1" applyAlignment="1">
      <alignment horizontal="center" vertical="center"/>
    </xf>
    <xf numFmtId="0" fontId="19" fillId="2" borderId="25" xfId="0" applyFont="1" applyFill="1" applyBorder="1" applyAlignment="1">
      <alignment horizontal="center" vertical="center"/>
    </xf>
    <xf numFmtId="0" fontId="19" fillId="2" borderId="16"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46" xfId="0" applyFont="1" applyFill="1" applyBorder="1" applyAlignment="1">
      <alignment horizontal="center" vertical="center"/>
    </xf>
    <xf numFmtId="0" fontId="3" fillId="5" borderId="46" xfId="0" applyFont="1" applyFill="1" applyBorder="1" applyAlignment="1">
      <alignment horizontal="center" vertical="center" wrapText="1"/>
    </xf>
    <xf numFmtId="1" fontId="3" fillId="5" borderId="46" xfId="0" applyNumberFormat="1" applyFont="1" applyFill="1" applyBorder="1" applyAlignment="1">
      <alignment horizontal="center" vertical="center"/>
    </xf>
    <xf numFmtId="1" fontId="3" fillId="5" borderId="15" xfId="0" applyNumberFormat="1" applyFont="1" applyFill="1" applyBorder="1" applyAlignment="1">
      <alignment horizontal="center" vertical="center"/>
    </xf>
    <xf numFmtId="0" fontId="3" fillId="5" borderId="46" xfId="0" applyFont="1" applyFill="1" applyBorder="1" applyAlignment="1">
      <alignment horizontal="center" vertical="center"/>
    </xf>
    <xf numFmtId="0" fontId="3" fillId="5" borderId="15"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17" xfId="0" applyFont="1" applyFill="1" applyBorder="1" applyAlignment="1">
      <alignment horizontal="center" vertical="center"/>
    </xf>
    <xf numFmtId="0" fontId="3" fillId="5" borderId="14" xfId="0" applyFont="1" applyFill="1" applyBorder="1" applyAlignment="1">
      <alignment horizontal="center" vertical="center"/>
    </xf>
    <xf numFmtId="0" fontId="21" fillId="8" borderId="28" xfId="0" applyFont="1" applyFill="1" applyBorder="1" applyAlignment="1">
      <alignment horizontal="center" vertical="center"/>
    </xf>
    <xf numFmtId="0" fontId="21" fillId="8" borderId="20" xfId="0" applyFont="1" applyFill="1" applyBorder="1" applyAlignment="1">
      <alignment horizontal="center" vertical="center"/>
    </xf>
    <xf numFmtId="0" fontId="21" fillId="8" borderId="47" xfId="0" applyFont="1" applyFill="1" applyBorder="1" applyAlignment="1">
      <alignment horizontal="center" vertical="center"/>
    </xf>
    <xf numFmtId="0" fontId="21" fillId="8" borderId="48" xfId="0" applyFont="1" applyFill="1" applyBorder="1" applyAlignment="1">
      <alignment horizontal="center" vertical="center"/>
    </xf>
    <xf numFmtId="0" fontId="19" fillId="2" borderId="0" xfId="0" applyFont="1" applyFill="1" applyAlignment="1">
      <alignment horizontal="center" vertical="center"/>
    </xf>
    <xf numFmtId="0" fontId="3" fillId="5" borderId="1" xfId="0" applyFont="1" applyFill="1" applyBorder="1" applyAlignment="1">
      <alignment horizontal="center" vertical="center"/>
    </xf>
    <xf numFmtId="1" fontId="3" fillId="5" borderId="2" xfId="0" applyNumberFormat="1" applyFont="1" applyFill="1" applyBorder="1" applyAlignment="1">
      <alignment horizontal="center" vertical="center"/>
    </xf>
    <xf numFmtId="0" fontId="3" fillId="5" borderId="2"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46E07"/>
      <color rgb="FF08DC13"/>
      <color rgb="FF048B09"/>
      <color rgb="FF05B30D"/>
      <color rgb="FFB34BFF"/>
      <color rgb="FF9F43E4"/>
      <color rgb="FF045C05"/>
      <color rgb="FF4848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_tradnl"/>
              <a:t>PROGRESO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spPr>
            <a:ln w="28575" cap="rnd">
              <a:solidFill>
                <a:schemeClr val="accent1"/>
              </a:solidFill>
              <a:round/>
            </a:ln>
            <a:effectLst/>
          </c:spPr>
          <c:marker>
            <c:symbol val="none"/>
          </c:marker>
          <c:val>
            <c:numRef>
              <c:f>DIETA!$S$12:$S$28</c:f>
              <c:numCache>
                <c:formatCode>General</c:formatCode>
                <c:ptCount val="17"/>
              </c:numCache>
            </c:numRef>
          </c:val>
          <c:smooth val="0"/>
          <c:extLst>
            <c:ext xmlns:c15="http://schemas.microsoft.com/office/drawing/2012/chart" uri="{02D57815-91ED-43cb-92C2-25804820EDAC}">
              <c15:filteredSeriesTitle>
                <c15:tx>
                  <c:strRef>
                    <c:extLst>
                      <c:ext uri="{02D57815-91ED-43cb-92C2-25804820EDAC}">
                        <c15:formulaRef>
                          <c15:sqref>DIETA!#REF!</c15:sqref>
                        </c15:formulaRef>
                      </c:ext>
                    </c:extLst>
                    <c:strCache>
                      <c:ptCount val="1"/>
                      <c:pt idx="0">
                        <c:v>#REF!</c:v>
                      </c:pt>
                    </c:strCache>
                  </c:strRef>
                </c15:tx>
              </c15:filteredSeriesTitle>
            </c:ext>
            <c:ext xmlns:c16="http://schemas.microsoft.com/office/drawing/2014/chart" uri="{C3380CC4-5D6E-409C-BE32-E72D297353CC}">
              <c16:uniqueId val="{00000000-06F7-0346-AD07-3D1C11870A0E}"/>
            </c:ext>
          </c:extLst>
        </c:ser>
        <c:dLbls>
          <c:showLegendKey val="0"/>
          <c:showVal val="0"/>
          <c:showCatName val="0"/>
          <c:showSerName val="0"/>
          <c:showPercent val="0"/>
          <c:showBubbleSize val="0"/>
        </c:dLbls>
        <c:smooth val="0"/>
        <c:axId val="239216736"/>
        <c:axId val="239218096"/>
      </c:lineChart>
      <c:catAx>
        <c:axId val="239216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8096"/>
        <c:crosses val="autoZero"/>
        <c:auto val="1"/>
        <c:lblAlgn val="ctr"/>
        <c:lblOffset val="100"/>
        <c:noMultiLvlLbl val="0"/>
      </c:catAx>
      <c:valAx>
        <c:axId val="239218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áfico5"/>
  <sheetViews>
    <sheetView zoomScale="110"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1381125</xdr:colOff>
          <xdr:row>37</xdr:row>
          <xdr:rowOff>123825</xdr:rowOff>
        </xdr:from>
        <xdr:to>
          <xdr:col>3</xdr:col>
          <xdr:colOff>238125</xdr:colOff>
          <xdr:row>41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1" i="0" u="sng" strike="noStrike" baseline="0">
                  <a:solidFill>
                    <a:srgbClr val="000000"/>
                  </a:solidFill>
                  <a:latin typeface="Calibri"/>
                  <a:cs typeface="Calibri"/>
                </a:rPr>
                <a:t>EMPEZAR</a:t>
              </a:r>
            </a:p>
          </xdr:txBody>
        </xdr:sp>
        <xdr:clientData fPrintsWithSheet="0"/>
      </xdr:twoCellAnchor>
    </mc:Choice>
    <mc:Fallback/>
  </mc:AlternateContent>
  <xdr:twoCellAnchor editAs="oneCell">
    <xdr:from>
      <xdr:col>0</xdr:col>
      <xdr:colOff>0</xdr:colOff>
      <xdr:row>0</xdr:row>
      <xdr:rowOff>0</xdr:rowOff>
    </xdr:from>
    <xdr:to>
      <xdr:col>1</xdr:col>
      <xdr:colOff>78303</xdr:colOff>
      <xdr:row>6</xdr:row>
      <xdr:rowOff>173553</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0</xdr:col>
      <xdr:colOff>1513849</xdr:colOff>
      <xdr:row>1</xdr:row>
      <xdr:rowOff>232832</xdr:rowOff>
    </xdr:from>
    <xdr:ext cx="2488887" cy="823559"/>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105998</xdr:rowOff>
    </xdr:from>
    <xdr:to>
      <xdr:col>2</xdr:col>
      <xdr:colOff>1121219</xdr:colOff>
      <xdr:row>5</xdr:row>
      <xdr:rowOff>294493</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0" y="105998"/>
          <a:ext cx="3403538" cy="1752988"/>
        </a:xfrm>
        <a:prstGeom prst="rect">
          <a:avLst/>
        </a:prstGeom>
      </xdr:spPr>
    </xdr:pic>
    <xdr:clientData/>
  </xdr:twoCellAnchor>
  <xdr:twoCellAnchor>
    <xdr:from>
      <xdr:col>1</xdr:col>
      <xdr:colOff>298789</xdr:colOff>
      <xdr:row>11</xdr:row>
      <xdr:rowOff>272979</xdr:rowOff>
    </xdr:from>
    <xdr:to>
      <xdr:col>2</xdr:col>
      <xdr:colOff>213957</xdr:colOff>
      <xdr:row>18</xdr:row>
      <xdr:rowOff>153685</xdr:rowOff>
    </xdr:to>
    <xdr:sp macro="" textlink="">
      <xdr:nvSpPr>
        <xdr:cNvPr id="8" name="Flecha curvada hacia la izquierda 7">
          <a:extLst>
            <a:ext uri="{FF2B5EF4-FFF2-40B4-BE49-F238E27FC236}">
              <a16:creationId xmlns:a16="http://schemas.microsoft.com/office/drawing/2014/main" id="{00000000-0008-0000-0100-000008000000}"/>
            </a:ext>
          </a:extLst>
        </xdr:cNvPr>
        <xdr:cNvSpPr/>
      </xdr:nvSpPr>
      <xdr:spPr>
        <a:xfrm rot="11839891">
          <a:off x="1441789" y="3955979"/>
          <a:ext cx="1058168" cy="2014306"/>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45</xdr:col>
      <xdr:colOff>254000</xdr:colOff>
      <xdr:row>0</xdr:row>
      <xdr:rowOff>254000</xdr:rowOff>
    </xdr:from>
    <xdr:ext cx="2861044" cy="1387844"/>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254000" y="254000"/>
          <a:ext cx="2861044" cy="1387844"/>
        </a:xfrm>
        <a:prstGeom prst="rect">
          <a:avLst/>
        </a:prstGeom>
      </xdr:spPr>
    </xdr:pic>
    <xdr:clientData/>
  </xdr:oneCellAnchor>
  <xdr:twoCellAnchor>
    <xdr:from>
      <xdr:col>47</xdr:col>
      <xdr:colOff>334066</xdr:colOff>
      <xdr:row>11</xdr:row>
      <xdr:rowOff>302612</xdr:rowOff>
    </xdr:from>
    <xdr:to>
      <xdr:col>48</xdr:col>
      <xdr:colOff>62968</xdr:colOff>
      <xdr:row>18</xdr:row>
      <xdr:rowOff>177672</xdr:rowOff>
    </xdr:to>
    <xdr:sp macro="" textlink="">
      <xdr:nvSpPr>
        <xdr:cNvPr id="10" name="Flecha curvada hacia la izquierda 9">
          <a:extLst>
            <a:ext uri="{FF2B5EF4-FFF2-40B4-BE49-F238E27FC236}">
              <a16:creationId xmlns:a16="http://schemas.microsoft.com/office/drawing/2014/main" id="{00000000-0008-0000-0100-00000A000000}"/>
            </a:ext>
          </a:extLst>
        </xdr:cNvPr>
        <xdr:cNvSpPr/>
      </xdr:nvSpPr>
      <xdr:spPr>
        <a:xfrm rot="10800000">
          <a:off x="44501844" y="4042056"/>
          <a:ext cx="1069457" cy="2048172"/>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85</xdr:col>
      <xdr:colOff>254000</xdr:colOff>
      <xdr:row>0</xdr:row>
      <xdr:rowOff>254000</xdr:rowOff>
    </xdr:from>
    <xdr:ext cx="2861044" cy="1387844"/>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41342235" y="254000"/>
          <a:ext cx="2861044" cy="1387844"/>
        </a:xfrm>
        <a:prstGeom prst="rect">
          <a:avLst/>
        </a:prstGeom>
      </xdr:spPr>
    </xdr:pic>
    <xdr:clientData/>
  </xdr:oneCellAnchor>
  <xdr:twoCellAnchor>
    <xdr:from>
      <xdr:col>89</xdr:col>
      <xdr:colOff>1813337</xdr:colOff>
      <xdr:row>9</xdr:row>
      <xdr:rowOff>179752</xdr:rowOff>
    </xdr:from>
    <xdr:to>
      <xdr:col>91</xdr:col>
      <xdr:colOff>133949</xdr:colOff>
      <xdr:row>17</xdr:row>
      <xdr:rowOff>225217</xdr:rowOff>
    </xdr:to>
    <xdr:sp macro="" textlink="">
      <xdr:nvSpPr>
        <xdr:cNvPr id="12" name="Flecha curvada hacia la izquierda 11">
          <a:extLst>
            <a:ext uri="{FF2B5EF4-FFF2-40B4-BE49-F238E27FC236}">
              <a16:creationId xmlns:a16="http://schemas.microsoft.com/office/drawing/2014/main" id="{00000000-0008-0000-0100-00000C000000}"/>
            </a:ext>
          </a:extLst>
        </xdr:cNvPr>
        <xdr:cNvSpPr/>
      </xdr:nvSpPr>
      <xdr:spPr>
        <a:xfrm rot="13330237">
          <a:off x="86254226" y="3298308"/>
          <a:ext cx="1072279" cy="2529020"/>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152</xdr:col>
      <xdr:colOff>254000</xdr:colOff>
      <xdr:row>0</xdr:row>
      <xdr:rowOff>254000</xdr:rowOff>
    </xdr:from>
    <xdr:ext cx="2861044" cy="1387844"/>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80082571" y="254000"/>
          <a:ext cx="2861044" cy="1387844"/>
        </a:xfrm>
        <a:prstGeom prst="rect">
          <a:avLst/>
        </a:prstGeom>
      </xdr:spPr>
    </xdr:pic>
    <xdr:clientData/>
  </xdr:oneCellAnchor>
  <xdr:twoCellAnchor>
    <xdr:from>
      <xdr:col>157</xdr:col>
      <xdr:colOff>584259</xdr:colOff>
      <xdr:row>9</xdr:row>
      <xdr:rowOff>220675</xdr:rowOff>
    </xdr:from>
    <xdr:to>
      <xdr:col>158</xdr:col>
      <xdr:colOff>732260</xdr:colOff>
      <xdr:row>17</xdr:row>
      <xdr:rowOff>271784</xdr:rowOff>
    </xdr:to>
    <xdr:sp macro="" textlink="">
      <xdr:nvSpPr>
        <xdr:cNvPr id="14" name="Flecha curvada hacia la izquierda 13">
          <a:extLst>
            <a:ext uri="{FF2B5EF4-FFF2-40B4-BE49-F238E27FC236}">
              <a16:creationId xmlns:a16="http://schemas.microsoft.com/office/drawing/2014/main" id="{00000000-0008-0000-0100-00000E000000}"/>
            </a:ext>
          </a:extLst>
        </xdr:cNvPr>
        <xdr:cNvSpPr/>
      </xdr:nvSpPr>
      <xdr:spPr>
        <a:xfrm rot="13330237">
          <a:off x="147057592" y="3339231"/>
          <a:ext cx="1065224" cy="25346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227</xdr:col>
      <xdr:colOff>254000</xdr:colOff>
      <xdr:row>0</xdr:row>
      <xdr:rowOff>254000</xdr:rowOff>
    </xdr:from>
    <xdr:ext cx="2861044" cy="1387844"/>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138756159" y="254000"/>
          <a:ext cx="2861044" cy="1387844"/>
        </a:xfrm>
        <a:prstGeom prst="rect">
          <a:avLst/>
        </a:prstGeom>
      </xdr:spPr>
    </xdr:pic>
    <xdr:clientData/>
  </xdr:oneCellAnchor>
  <xdr:twoCellAnchor>
    <xdr:from>
      <xdr:col>236</xdr:col>
      <xdr:colOff>925184</xdr:colOff>
      <xdr:row>10</xdr:row>
      <xdr:rowOff>148580</xdr:rowOff>
    </xdr:from>
    <xdr:to>
      <xdr:col>237</xdr:col>
      <xdr:colOff>278825</xdr:colOff>
      <xdr:row>18</xdr:row>
      <xdr:rowOff>194044</xdr:rowOff>
    </xdr:to>
    <xdr:sp macro="" textlink="">
      <xdr:nvSpPr>
        <xdr:cNvPr id="16" name="Flecha curvada hacia la izquierda 15">
          <a:extLst>
            <a:ext uri="{FF2B5EF4-FFF2-40B4-BE49-F238E27FC236}">
              <a16:creationId xmlns:a16="http://schemas.microsoft.com/office/drawing/2014/main" id="{00000000-0008-0000-0100-000010000000}"/>
            </a:ext>
          </a:extLst>
        </xdr:cNvPr>
        <xdr:cNvSpPr/>
      </xdr:nvSpPr>
      <xdr:spPr>
        <a:xfrm rot="8763350" flipH="1">
          <a:off x="217218884" y="3526780"/>
          <a:ext cx="991941" cy="24838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56</xdr:col>
          <xdr:colOff>266700</xdr:colOff>
          <xdr:row>8</xdr:row>
          <xdr:rowOff>485775</xdr:rowOff>
        </xdr:from>
        <xdr:to>
          <xdr:col>59</xdr:col>
          <xdr:colOff>219075</xdr:colOff>
          <xdr:row>11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96</xdr:col>
          <xdr:colOff>371475</xdr:colOff>
          <xdr:row>8</xdr:row>
          <xdr:rowOff>600075</xdr:rowOff>
        </xdr:from>
        <xdr:to>
          <xdr:col>99</xdr:col>
          <xdr:colOff>333375</xdr:colOff>
          <xdr:row>12</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104775</xdr:colOff>
          <xdr:row>8</xdr:row>
          <xdr:rowOff>238125</xdr:rowOff>
        </xdr:from>
        <xdr:to>
          <xdr:col>166</xdr:col>
          <xdr:colOff>161925</xdr:colOff>
          <xdr:row>10</xdr:row>
          <xdr:rowOff>200025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10</xdr:row>
          <xdr:rowOff>28575</xdr:rowOff>
        </xdr:from>
        <xdr:to>
          <xdr:col>14</xdr:col>
          <xdr:colOff>542925</xdr:colOff>
          <xdr:row>13</xdr:row>
          <xdr:rowOff>180975</xdr:rowOff>
        </xdr:to>
        <xdr:sp macro="" textlink="">
          <xdr:nvSpPr>
            <xdr:cNvPr id="1029" name="Button 5" descr="SIGUIENTE&#10;"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238</xdr:col>
          <xdr:colOff>152400</xdr:colOff>
          <xdr:row>7</xdr:row>
          <xdr:rowOff>123825</xdr:rowOff>
        </xdr:from>
        <xdr:to>
          <xdr:col>241</xdr:col>
          <xdr:colOff>0</xdr:colOff>
          <xdr:row>9</xdr:row>
          <xdr:rowOff>219075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293939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210343</xdr:rowOff>
    </xdr:from>
    <xdr:ext cx="2488887" cy="823559"/>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285434</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208642</xdr:rowOff>
    </xdr:from>
    <xdr:ext cx="2488887" cy="823559"/>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5.xml><?xml version="1.0" encoding="utf-8"?>
<xdr:wsDr xmlns:xdr="http://schemas.openxmlformats.org/drawingml/2006/spreadsheetDrawing" xmlns:a="http://schemas.openxmlformats.org/drawingml/2006/main">
  <xdr:absoluteAnchor>
    <xdr:pos x="0" y="0"/>
    <xdr:ext cx="8659091" cy="6286500"/>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558800</xdr:colOff>
      <xdr:row>4</xdr:row>
      <xdr:rowOff>88900</xdr:rowOff>
    </xdr:from>
    <xdr:to>
      <xdr:col>15</xdr:col>
      <xdr:colOff>571500</xdr:colOff>
      <xdr:row>4</xdr:row>
      <xdr:rowOff>88900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2115800" y="9017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190500</xdr:colOff>
      <xdr:row>1</xdr:row>
      <xdr:rowOff>139700</xdr:rowOff>
    </xdr:from>
    <xdr:to>
      <xdr:col>21</xdr:col>
      <xdr:colOff>533400</xdr:colOff>
      <xdr:row>7</xdr:row>
      <xdr:rowOff>88900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2573000" y="3429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Huevo (en la preparación que mas te guste pero sin adicionar nada de aceite/mantequilla extra) + galletass ducales x5</a:t>
          </a:r>
        </a:p>
      </xdr:txBody>
    </xdr:sp>
    <xdr:clientData/>
  </xdr:twoCellAnchor>
  <xdr:twoCellAnchor>
    <xdr:from>
      <xdr:col>14</xdr:col>
      <xdr:colOff>609600</xdr:colOff>
      <xdr:row>12</xdr:row>
      <xdr:rowOff>63500</xdr:rowOff>
    </xdr:from>
    <xdr:to>
      <xdr:col>15</xdr:col>
      <xdr:colOff>622300</xdr:colOff>
      <xdr:row>12</xdr:row>
      <xdr:rowOff>63500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a:off x="12166600" y="25019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9</xdr:row>
      <xdr:rowOff>114300</xdr:rowOff>
    </xdr:from>
    <xdr:to>
      <xdr:col>21</xdr:col>
      <xdr:colOff>584200</xdr:colOff>
      <xdr:row>15</xdr:row>
      <xdr:rowOff>63500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2623800" y="19431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yogurt girego mara sketos es</a:t>
          </a:r>
          <a:r>
            <a:rPr lang="es-CO" sz="1500" baseline="0"/>
            <a:t> de las mejores marcas que tenemos en lmercado</a:t>
          </a:r>
          <a:endParaRPr lang="es-CO" sz="1500"/>
        </a:p>
      </xdr:txBody>
    </xdr:sp>
    <xdr:clientData/>
  </xdr:twoCellAnchor>
  <xdr:twoCellAnchor>
    <xdr:from>
      <xdr:col>14</xdr:col>
      <xdr:colOff>635000</xdr:colOff>
      <xdr:row>20</xdr:row>
      <xdr:rowOff>152400</xdr:rowOff>
    </xdr:from>
    <xdr:to>
      <xdr:col>15</xdr:col>
      <xdr:colOff>647700</xdr:colOff>
      <xdr:row>20</xdr:row>
      <xdr:rowOff>152400</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a:off x="12192000" y="42164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266700</xdr:colOff>
      <xdr:row>18</xdr:row>
      <xdr:rowOff>0</xdr:rowOff>
    </xdr:from>
    <xdr:to>
      <xdr:col>21</xdr:col>
      <xdr:colOff>609600</xdr:colOff>
      <xdr:row>23</xdr:row>
      <xdr:rowOff>152400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2649200" y="36576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Lentejas con Arroz + Pechuga de Pollo</a:t>
          </a:r>
        </a:p>
      </xdr:txBody>
    </xdr:sp>
    <xdr:clientData/>
  </xdr:twoCellAnchor>
  <xdr:twoCellAnchor>
    <xdr:from>
      <xdr:col>14</xdr:col>
      <xdr:colOff>660400</xdr:colOff>
      <xdr:row>34</xdr:row>
      <xdr:rowOff>177800</xdr:rowOff>
    </xdr:from>
    <xdr:to>
      <xdr:col>15</xdr:col>
      <xdr:colOff>673100</xdr:colOff>
      <xdr:row>34</xdr:row>
      <xdr:rowOff>177800</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a:xfrm>
          <a:off x="12217400" y="70866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292100</xdr:colOff>
      <xdr:row>32</xdr:row>
      <xdr:rowOff>25400</xdr:rowOff>
    </xdr:from>
    <xdr:to>
      <xdr:col>21</xdr:col>
      <xdr:colOff>635000</xdr:colOff>
      <xdr:row>37</xdr:row>
      <xdr:rowOff>177800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2674600" y="65278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Arepa</a:t>
          </a:r>
          <a:r>
            <a:rPr lang="es-CO" sz="1500" baseline="0"/>
            <a:t> con queso y carne molida/desmechada</a:t>
          </a:r>
          <a:endParaRPr lang="es-CO" sz="1500"/>
        </a:p>
      </xdr:txBody>
    </xdr:sp>
    <xdr:clientData/>
  </xdr:twoCellAnchor>
  <xdr:twoCellAnchor>
    <xdr:from>
      <xdr:col>14</xdr:col>
      <xdr:colOff>609600</xdr:colOff>
      <xdr:row>27</xdr:row>
      <xdr:rowOff>12700</xdr:rowOff>
    </xdr:from>
    <xdr:to>
      <xdr:col>15</xdr:col>
      <xdr:colOff>622300</xdr:colOff>
      <xdr:row>27</xdr:row>
      <xdr:rowOff>12700</xdr:rowOff>
    </xdr:to>
    <xdr:cxnSp macro="">
      <xdr:nvCxnSpPr>
        <xdr:cNvPr id="12" name="Straight Connector 11">
          <a:extLst>
            <a:ext uri="{FF2B5EF4-FFF2-40B4-BE49-F238E27FC236}">
              <a16:creationId xmlns:a16="http://schemas.microsoft.com/office/drawing/2014/main" id="{00000000-0008-0000-0500-00000C000000}"/>
            </a:ext>
          </a:extLst>
        </xdr:cNvPr>
        <xdr:cNvCxnSpPr/>
      </xdr:nvCxnSpPr>
      <xdr:spPr>
        <a:xfrm>
          <a:off x="12166600" y="54991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24</xdr:row>
      <xdr:rowOff>63500</xdr:rowOff>
    </xdr:from>
    <xdr:to>
      <xdr:col>21</xdr:col>
      <xdr:colOff>584200</xdr:colOff>
      <xdr:row>30</xdr:row>
      <xdr:rowOff>12700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12623800" y="49403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Porcion de cereal (convencional, tipo zucaritas, chocokrispies, etc) en leche entera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736600</xdr:colOff>
      <xdr:row>6</xdr:row>
      <xdr:rowOff>50800</xdr:rowOff>
    </xdr:from>
    <xdr:to>
      <xdr:col>15</xdr:col>
      <xdr:colOff>749300</xdr:colOff>
      <xdr:row>6</xdr:row>
      <xdr:rowOff>50800</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a:off x="12293600" y="12700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368300</xdr:colOff>
      <xdr:row>3</xdr:row>
      <xdr:rowOff>101600</xdr:rowOff>
    </xdr:from>
    <xdr:to>
      <xdr:col>21</xdr:col>
      <xdr:colOff>711200</xdr:colOff>
      <xdr:row>9</xdr:row>
      <xdr:rowOff>50800</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2750800" y="7112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Receta de pancakes de proteína: Mezclar todo en la licuadora, cocinar, y decorar con syrup sin</a:t>
          </a:r>
          <a:r>
            <a:rPr lang="es-CO" sz="1500" baseline="0"/>
            <a:t> azucar</a:t>
          </a:r>
          <a:endParaRPr lang="es-CO" sz="1500"/>
        </a:p>
      </xdr:txBody>
    </xdr:sp>
    <xdr:clientData/>
  </xdr:twoCellAnchor>
  <xdr:twoCellAnchor>
    <xdr:from>
      <xdr:col>14</xdr:col>
      <xdr:colOff>647700</xdr:colOff>
      <xdr:row>22</xdr:row>
      <xdr:rowOff>38100</xdr:rowOff>
    </xdr:from>
    <xdr:to>
      <xdr:col>15</xdr:col>
      <xdr:colOff>660400</xdr:colOff>
      <xdr:row>22</xdr:row>
      <xdr:rowOff>38100</xdr:rowOff>
    </xdr:to>
    <xdr:cxnSp macro="">
      <xdr:nvCxnSpPr>
        <xdr:cNvPr id="7" name="Straight Connector 6">
          <a:extLst>
            <a:ext uri="{FF2B5EF4-FFF2-40B4-BE49-F238E27FC236}">
              <a16:creationId xmlns:a16="http://schemas.microsoft.com/office/drawing/2014/main" id="{00000000-0008-0000-0600-000007000000}"/>
            </a:ext>
          </a:extLst>
        </xdr:cNvPr>
        <xdr:cNvCxnSpPr/>
      </xdr:nvCxnSpPr>
      <xdr:spPr>
        <a:xfrm>
          <a:off x="12204700" y="4508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279400</xdr:colOff>
      <xdr:row>19</xdr:row>
      <xdr:rowOff>88900</xdr:rowOff>
    </xdr:from>
    <xdr:to>
      <xdr:col>21</xdr:col>
      <xdr:colOff>622300</xdr:colOff>
      <xdr:row>25</xdr:row>
      <xdr:rowOff>38100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2661900" y="3949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Pasta  + Pollo + Ensalada</a:t>
          </a:r>
        </a:p>
      </xdr:txBody>
    </xdr:sp>
    <xdr:clientData/>
  </xdr:twoCellAnchor>
  <xdr:twoCellAnchor>
    <xdr:from>
      <xdr:col>14</xdr:col>
      <xdr:colOff>546100</xdr:colOff>
      <xdr:row>37</xdr:row>
      <xdr:rowOff>165100</xdr:rowOff>
    </xdr:from>
    <xdr:to>
      <xdr:col>15</xdr:col>
      <xdr:colOff>558800</xdr:colOff>
      <xdr:row>37</xdr:row>
      <xdr:rowOff>165100</xdr:rowOff>
    </xdr:to>
    <xdr:cxnSp macro="">
      <xdr:nvCxnSpPr>
        <xdr:cNvPr id="11" name="Straight Connector 10">
          <a:extLst>
            <a:ext uri="{FF2B5EF4-FFF2-40B4-BE49-F238E27FC236}">
              <a16:creationId xmlns:a16="http://schemas.microsoft.com/office/drawing/2014/main" id="{00000000-0008-0000-0600-00000B000000}"/>
            </a:ext>
          </a:extLst>
        </xdr:cNvPr>
        <xdr:cNvCxnSpPr/>
      </xdr:nvCxnSpPr>
      <xdr:spPr>
        <a:xfrm>
          <a:off x="12103100" y="7683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177800</xdr:colOff>
      <xdr:row>35</xdr:row>
      <xdr:rowOff>12700</xdr:rowOff>
    </xdr:from>
    <xdr:to>
      <xdr:col>21</xdr:col>
      <xdr:colOff>520700</xdr:colOff>
      <xdr:row>40</xdr:row>
      <xdr:rowOff>165100</xdr:rowOff>
    </xdr:to>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12560300" y="7124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Hamburguesa casera con carne molida 97% libre de grasa, queso y pan + papas “fritas” preparadas al sartén/horno/air Fryer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felipebejaranoceron1/Desktop/PT/ARLENYS%20D'ANDUONO/Reporte_ArlenysD'Anduon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felipebejaranoceron1/Desktop/PT/Stephanie/Reporte_S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olumes/JF/PT/JOSE%20CASTORENA/Reporte_JoseCastero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DIETA"/>
      <sheetName val="INICIO"/>
      <sheetName val="INSTRUCTIVO DIETA"/>
      <sheetName val="INSTRUCTIVO EJERCICIO"/>
      <sheetName val="EJERCICIO"/>
      <sheetName val="Lunes"/>
      <sheetName val="Martes"/>
      <sheetName val="Miercoles"/>
      <sheetName val="Jueves"/>
      <sheetName val="Viernes"/>
      <sheetName val="Sabado"/>
      <sheetName val="Domingo"/>
    </sheetNames>
    <sheetDataSet>
      <sheetData sheetId="0" refreshError="1">
        <row r="4">
          <cell r="B4" t="str">
            <v>Mora</v>
          </cell>
        </row>
        <row r="49">
          <cell r="B49" t="str">
            <v>Proteína</v>
          </cell>
        </row>
        <row r="53">
          <cell r="B53" t="str">
            <v>Rice Krispies Treats</v>
          </cell>
        </row>
        <row r="54">
          <cell r="B54" t="str">
            <v>Oreo Thins</v>
          </cell>
        </row>
        <row r="55">
          <cell r="B55" t="str">
            <v>Chips Ahoy Thins</v>
          </cell>
        </row>
        <row r="56">
          <cell r="B56" t="str">
            <v>Dona Glazeada - KryspiKream</v>
          </cell>
        </row>
        <row r="57">
          <cell r="B57" t="str">
            <v>Yogurt Griego Light &amp; Fit</v>
          </cell>
        </row>
        <row r="58">
          <cell r="B58" t="str">
            <v>Hershey's - Kiss</v>
          </cell>
        </row>
        <row r="105">
          <cell r="B105" t="str">
            <v>Queso descremado</v>
          </cell>
        </row>
        <row r="106">
          <cell r="B106" t="str">
            <v>Huevo</v>
          </cell>
        </row>
        <row r="107">
          <cell r="B107" t="str">
            <v>Claras de huevo</v>
          </cell>
        </row>
        <row r="108">
          <cell r="B108" t="str">
            <v>Scoop de Proteína</v>
          </cell>
        </row>
        <row r="109">
          <cell r="B109" t="str">
            <v>Barra de Proteina</v>
          </cell>
        </row>
        <row r="110">
          <cell r="B110" t="str">
            <v>Jamon de Pechuga de Pavo</v>
          </cell>
        </row>
        <row r="111">
          <cell r="B111" t="str">
            <v>Mantequilla de Almendras</v>
          </cell>
        </row>
        <row r="112">
          <cell r="B112" t="str">
            <v>Yogurt Griego Light &amp; Fit</v>
          </cell>
        </row>
        <row r="113">
          <cell r="B113" t="str">
            <v>Avocado</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INICIO"/>
      <sheetName val="INSTRUCTIVO DIETA"/>
      <sheetName val="DIETA"/>
      <sheetName val="EJERCICIO"/>
      <sheetName val="PROGRESO"/>
      <sheetName val="Lunes"/>
      <sheetName val="Martes"/>
      <sheetName val="Miercoles"/>
      <sheetName val="Jueves"/>
      <sheetName val="Viernes"/>
      <sheetName val="Sabado"/>
      <sheetName val="Domingo"/>
    </sheetNames>
    <sheetDataSet>
      <sheetData sheetId="0" refreshError="1">
        <row r="3">
          <cell r="B3" t="str">
            <v>Sara Lee - Delightful Wheat Bread</v>
          </cell>
        </row>
        <row r="4">
          <cell r="B4" t="str">
            <v>Rice Cakes - Caramelo</v>
          </cell>
        </row>
        <row r="5">
          <cell r="B5" t="str">
            <v>Pan Balnco Estandar</v>
          </cell>
        </row>
        <row r="6">
          <cell r="B6" t="str">
            <v>Pan Integral Estandar</v>
          </cell>
        </row>
        <row r="8">
          <cell r="B8" t="str">
            <v>Queso Tipo Mozzarella Semidescremado (publix)</v>
          </cell>
        </row>
        <row r="9">
          <cell r="B9" t="str">
            <v>Claras de Huevo (all Whites)</v>
          </cell>
        </row>
        <row r="10">
          <cell r="B10" t="str">
            <v>Jamn de Pechua de Pavo roasted</v>
          </cell>
        </row>
        <row r="11">
          <cell r="B11" t="str">
            <v xml:space="preserve">Dannon Light &amp; Fit Greek Nonfat Yogurt </v>
          </cell>
        </row>
        <row r="12">
          <cell r="B12" t="str">
            <v>Manteqilla de Mani</v>
          </cell>
        </row>
        <row r="13">
          <cell r="B13" t="str">
            <v>Jamon de Cerdo 98%</v>
          </cell>
        </row>
        <row r="15">
          <cell r="B15" t="str">
            <v>Café Negro</v>
          </cell>
        </row>
        <row r="16">
          <cell r="B16" t="str">
            <v>Leche descremanda</v>
          </cell>
        </row>
        <row r="22">
          <cell r="B22" t="str">
            <v>Arroz Blanco cocido</v>
          </cell>
        </row>
        <row r="23">
          <cell r="B23" t="str">
            <v>Papa horneada</v>
          </cell>
        </row>
        <row r="24">
          <cell r="B24" t="str">
            <v>Yuca Blanca Cocida</v>
          </cell>
        </row>
        <row r="25">
          <cell r="B25" t="str">
            <v>Pasta Barrilla Plus Proteina</v>
          </cell>
        </row>
        <row r="27">
          <cell r="B27" t="str">
            <v>Mazorca desgranada congelada</v>
          </cell>
        </row>
        <row r="28">
          <cell r="B28" t="str">
            <v>Mix vegetales congelados</v>
          </cell>
        </row>
        <row r="29">
          <cell r="B29" t="str">
            <v>Habichuela congelada</v>
          </cell>
        </row>
        <row r="30">
          <cell r="B30" t="str">
            <v>Arveja congelada</v>
          </cell>
        </row>
        <row r="33">
          <cell r="B33" t="str">
            <v>Lomo de Cerdo</v>
          </cell>
        </row>
        <row r="34">
          <cell r="B34" t="str">
            <v>Carne molida 97/3 (magra)</v>
          </cell>
        </row>
        <row r="35">
          <cell r="B35" t="str">
            <v>Pechuga de pollo sin piel</v>
          </cell>
        </row>
        <row r="36">
          <cell r="B36" t="str">
            <v>Salmon si piel</v>
          </cell>
        </row>
        <row r="37">
          <cell r="B37" t="str">
            <v>Pescado Blanco (tilapia)</v>
          </cell>
        </row>
        <row r="38">
          <cell r="B38" t="str">
            <v>Ground Turkey 93% lean</v>
          </cell>
        </row>
        <row r="40">
          <cell r="B40" t="str">
            <v>Ensalada estandar sensilla</v>
          </cell>
        </row>
        <row r="41">
          <cell r="B41" t="str">
            <v>Ensalada estandar doble</v>
          </cell>
        </row>
        <row r="47">
          <cell r="B47" t="str">
            <v>Uvas</v>
          </cell>
        </row>
        <row r="48">
          <cell r="B48" t="str">
            <v>Fresas</v>
          </cell>
        </row>
        <row r="49">
          <cell r="B49" t="str">
            <v>Banano</v>
          </cell>
        </row>
        <row r="50">
          <cell r="B50" t="str">
            <v>Mandarina</v>
          </cell>
        </row>
        <row r="51">
          <cell r="B51" t="str">
            <v>Piña</v>
          </cell>
        </row>
        <row r="52">
          <cell r="B52" t="str">
            <v>Manzana Roja</v>
          </cell>
        </row>
        <row r="53">
          <cell r="B53" t="str">
            <v>Manzana Verde</v>
          </cell>
        </row>
        <row r="54">
          <cell r="B54" t="str">
            <v>Naranja</v>
          </cell>
        </row>
        <row r="55">
          <cell r="B55" t="str">
            <v>Mago</v>
          </cell>
        </row>
        <row r="57">
          <cell r="B57" t="str">
            <v>Barra de Proteina Quest</v>
          </cell>
        </row>
        <row r="58">
          <cell r="B58" t="str">
            <v>Dannon Ligth &amp; fit Greek Nonfat Yogurt</v>
          </cell>
        </row>
        <row r="59">
          <cell r="B59" t="str">
            <v>Barra de Poteina ONE bar</v>
          </cell>
        </row>
        <row r="60">
          <cell r="B60" t="str">
            <v>Scoop de Proteina</v>
          </cell>
        </row>
        <row r="62">
          <cell r="B62" t="str">
            <v>Hershey Kiss</v>
          </cell>
        </row>
        <row r="67">
          <cell r="B67" t="str">
            <v>Reese's Puffs (30g)</v>
          </cell>
        </row>
        <row r="68">
          <cell r="B68" t="str">
            <v>Sara Lee - Delightful Wheat Bread</v>
          </cell>
        </row>
        <row r="69">
          <cell r="B69" t="str">
            <v>Reese's Puffs (40g)</v>
          </cell>
        </row>
        <row r="70">
          <cell r="B70" t="str">
            <v>Reese's Puffs (45g)</v>
          </cell>
        </row>
        <row r="72">
          <cell r="B72" t="str">
            <v>All Whithes</v>
          </cell>
        </row>
        <row r="73">
          <cell r="B73" t="str">
            <v>Fat Free Mozzarella Cheese - Kraft (35g)</v>
          </cell>
        </row>
        <row r="74">
          <cell r="B74" t="str">
            <v>Fat Free Mozzarella Cheese - Kraft (25g)</v>
          </cell>
        </row>
        <row r="75">
          <cell r="B75" t="str">
            <v>Jamon de Pechuga de Pavo, Horneado</v>
          </cell>
        </row>
        <row r="76">
          <cell r="B76" t="str">
            <v>Leche descremada</v>
          </cell>
        </row>
        <row r="77">
          <cell r="B77" t="str">
            <v>Manteqilla de Mani</v>
          </cell>
        </row>
        <row r="78">
          <cell r="B78" t="str">
            <v>Queso Tipo Mozzarella Semidescremado (publix)</v>
          </cell>
        </row>
        <row r="79">
          <cell r="B79" t="str">
            <v>Scoop de Proteina</v>
          </cell>
        </row>
        <row r="81">
          <cell r="B81" t="str">
            <v>Pizza Mediana - Dominos - Pollo</v>
          </cell>
        </row>
        <row r="82">
          <cell r="B82" t="str">
            <v>Oreo Thins</v>
          </cell>
        </row>
        <row r="83">
          <cell r="B83" t="str">
            <v>Prosecco</v>
          </cell>
        </row>
        <row r="84">
          <cell r="B84" t="str">
            <v>Hershey's Sugar Free - Dark Chocolate Candy,</v>
          </cell>
        </row>
        <row r="86">
          <cell r="B86" t="str">
            <v>Leche descremada (240ml)</v>
          </cell>
        </row>
        <row r="87">
          <cell r="B87" t="str">
            <v>Leche descremanda (125ml)</v>
          </cell>
        </row>
        <row r="92">
          <cell r="B92" t="str">
            <v>Mcdonald's - French Fries Medium</v>
          </cell>
        </row>
        <row r="93">
          <cell r="B93" t="str">
            <v>Coca-Cola Zero - Zero Calorie Cola</v>
          </cell>
        </row>
        <row r="94">
          <cell r="B94" t="str">
            <v>Macdonald's - Artisan Grilled Chicken Sandwich</v>
          </cell>
        </row>
        <row r="95">
          <cell r="B95" t="str">
            <v>Kfc - Spicy Crispy Chicken Breast</v>
          </cell>
        </row>
        <row r="96">
          <cell r="B96" t="str">
            <v>Kfc - Hot &amp; Spicy Chicken: Thigh</v>
          </cell>
        </row>
        <row r="97">
          <cell r="B97" t="str">
            <v>Kfc - Homestyle Potato Wedges</v>
          </cell>
        </row>
        <row r="98">
          <cell r="B98" t="str">
            <v>Helado Estandar de restaurante</v>
          </cell>
        </row>
        <row r="99">
          <cell r="B99" t="str">
            <v>Halo Top - 280cal</v>
          </cell>
        </row>
        <row r="100">
          <cell r="B100" t="str">
            <v>Halo Top - 320cal</v>
          </cell>
        </row>
        <row r="101">
          <cell r="B101" t="str">
            <v>Halo Top - 360cal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E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hyperlink" Target="https://drive.google.com/file/d/1Bqia8GiS0WlNAvlFsSkBh9YR-Mzpuh1U/view?usp=drive_link" TargetMode="External"/><Relationship Id="rId117" Type="http://schemas.openxmlformats.org/officeDocument/2006/relationships/hyperlink" Target="https://drive.google.com/file/d/1h69oWuld-DbcpwRbhuxLkRkEFrPrWQlQ/view?usp=drive_link" TargetMode="External"/><Relationship Id="rId21" Type="http://schemas.openxmlformats.org/officeDocument/2006/relationships/hyperlink" Target="https://www.instagram.com/reel/Coxg8rtNo5k/" TargetMode="External"/><Relationship Id="rId42" Type="http://schemas.openxmlformats.org/officeDocument/2006/relationships/hyperlink" Target="https://drive.google.com/file/d/1AzzGUuHH2CShNVdJsU1QpoRrwzFajzju/view?usp=drive_link" TargetMode="External"/><Relationship Id="rId47" Type="http://schemas.openxmlformats.org/officeDocument/2006/relationships/hyperlink" Target="https://drive.google.com/file/d/1aSH0IkDuAU5FhXxmMoSBZLNWCu-LlnZY/view?usp=drive_link" TargetMode="External"/><Relationship Id="rId63" Type="http://schemas.openxmlformats.org/officeDocument/2006/relationships/hyperlink" Target="https://www.youtube.com/watch?v=OzRiZ6QgnTA" TargetMode="External"/><Relationship Id="rId68" Type="http://schemas.openxmlformats.org/officeDocument/2006/relationships/hyperlink" Target="https://drive.google.com/file/d/1Bqia8GiS0WlNAvlFsSkBh9YR-Mzpuh1U/view?usp=drive_link" TargetMode="External"/><Relationship Id="rId84" Type="http://schemas.openxmlformats.org/officeDocument/2006/relationships/hyperlink" Target="https://www.youtube.com/watch?v=3ZRe_QpvRPg" TargetMode="External"/><Relationship Id="rId89" Type="http://schemas.openxmlformats.org/officeDocument/2006/relationships/hyperlink" Target="https://drive.google.com/file/d/1US-G4FA4t0doumfz2Qnk3JSkl8ReSDYx/view?usp=drive_link" TargetMode="External"/><Relationship Id="rId112" Type="http://schemas.openxmlformats.org/officeDocument/2006/relationships/hyperlink" Target="https://www.youtube.com/watch?v=9ZknEYboBOQ" TargetMode="External"/><Relationship Id="rId16" Type="http://schemas.openxmlformats.org/officeDocument/2006/relationships/hyperlink" Target="https://www.youtube.com/watch?v=xMEs3zEzS8s" TargetMode="External"/><Relationship Id="rId107" Type="http://schemas.openxmlformats.org/officeDocument/2006/relationships/hyperlink" Target="https://drive.google.com/file/d/1AzzGUuHH2CShNVdJsU1QpoRrwzFajzju/view?usp=drive_link" TargetMode="External"/><Relationship Id="rId11" Type="http://schemas.openxmlformats.org/officeDocument/2006/relationships/hyperlink" Target="https://www.youtube.com/watch?v=6BxkV9h3h2k" TargetMode="External"/><Relationship Id="rId32" Type="http://schemas.openxmlformats.org/officeDocument/2006/relationships/hyperlink" Target="https://drive.google.com/file/d/1giR5DZGpKS14hOtO9OVczyj5W-SLJZ8o/view?usp=drive_link" TargetMode="External"/><Relationship Id="rId37" Type="http://schemas.openxmlformats.org/officeDocument/2006/relationships/hyperlink" Target="https://www.youtube.com/watch?v=IuzRCN6eG6Y" TargetMode="External"/><Relationship Id="rId53" Type="http://schemas.openxmlformats.org/officeDocument/2006/relationships/hyperlink" Target="https://drive.google.com/file/d/1bdjTHdnjWccUfIYKivRMTs86CjJJPNQc/view?usp=drive_link" TargetMode="External"/><Relationship Id="rId58" Type="http://schemas.openxmlformats.org/officeDocument/2006/relationships/hyperlink" Target="https://drive.google.com/file/d/1EDo4Cjb8QOghhV7CIMjR04mDk5OSpVKr/view?usp=drive_link" TargetMode="External"/><Relationship Id="rId74" Type="http://schemas.openxmlformats.org/officeDocument/2006/relationships/hyperlink" Target="https://www.youtube.com/watch?v=Xvf9vCfINo4" TargetMode="External"/><Relationship Id="rId79" Type="http://schemas.openxmlformats.org/officeDocument/2006/relationships/hyperlink" Target="https://www.youtube.com/watch?v=nFspBRHke4w" TargetMode="External"/><Relationship Id="rId102" Type="http://schemas.openxmlformats.org/officeDocument/2006/relationships/hyperlink" Target="https://drive.google.com/file/d/1XE33YhFz9hp948CMycu_v-Vcqehf_iix/view?usp=drive_link" TargetMode="External"/><Relationship Id="rId5" Type="http://schemas.openxmlformats.org/officeDocument/2006/relationships/hyperlink" Target="https://drive.google.com/file/d/1pM6gfgjTdAza8uq2kU-2Qbt1nSdazX-5/view?usp=drive_link" TargetMode="External"/><Relationship Id="rId90" Type="http://schemas.openxmlformats.org/officeDocument/2006/relationships/hyperlink" Target="https://www.instagram.com/reel/Cq8-8blP7uW/" TargetMode="External"/><Relationship Id="rId95" Type="http://schemas.openxmlformats.org/officeDocument/2006/relationships/hyperlink" Target="https://www.instagram.com/reel/Ch2vCOEPyze/" TargetMode="External"/><Relationship Id="rId22" Type="http://schemas.openxmlformats.org/officeDocument/2006/relationships/hyperlink" Target="https://drive.google.com/file/d/1EDo4Cjb8QOghhV7CIMjR04mDk5OSpVKr/view?usp=drive_link" TargetMode="External"/><Relationship Id="rId27" Type="http://schemas.openxmlformats.org/officeDocument/2006/relationships/hyperlink" Target="https://www.youtube.com/watch?v=JjK5ZA_Mw3Q" TargetMode="External"/><Relationship Id="rId43" Type="http://schemas.openxmlformats.org/officeDocument/2006/relationships/hyperlink" Target="https://drive.google.com/file/d/1XF8sCb6p618QtFv90J9XEBCB30yZ3qxS/view?usp=drive_link" TargetMode="External"/><Relationship Id="rId48" Type="http://schemas.openxmlformats.org/officeDocument/2006/relationships/hyperlink" Target="https://drive.google.com/file/d/10Dos0J6uGrMG0VAxzkmTm_lydMbRGEzh/view?usp=drive_link" TargetMode="External"/><Relationship Id="rId64" Type="http://schemas.openxmlformats.org/officeDocument/2006/relationships/hyperlink" Target="https://www.youtube.com/watch?v=Wlw2Cyon-Ks" TargetMode="External"/><Relationship Id="rId69" Type="http://schemas.openxmlformats.org/officeDocument/2006/relationships/hyperlink" Target="https://drive.google.com/file/d/1EDo4Cjb8QOghhV7CIMjR04mDk5OSpVKr/view?usp=drive_link" TargetMode="External"/><Relationship Id="rId113" Type="http://schemas.openxmlformats.org/officeDocument/2006/relationships/hyperlink" Target="https://drive.google.com/file/d/1Bqia8GiS0WlNAvlFsSkBh9YR-Mzpuh1U/view?usp=drive_link" TargetMode="External"/><Relationship Id="rId118" Type="http://schemas.openxmlformats.org/officeDocument/2006/relationships/hyperlink" Target="https://drive.google.com/file/d/1h69oWuld-DbcpwRbhuxLkRkEFrPrWQlQ/view?usp=drive_link" TargetMode="External"/><Relationship Id="rId80" Type="http://schemas.openxmlformats.org/officeDocument/2006/relationships/hyperlink" Target="https://www.youtube.com/watch?v=9ZknEYboBOQ" TargetMode="External"/><Relationship Id="rId85" Type="http://schemas.openxmlformats.org/officeDocument/2006/relationships/hyperlink" Target="https://www.youtube.com/watch?v=-M4-G8p8fmc" TargetMode="External"/><Relationship Id="rId12" Type="http://schemas.openxmlformats.org/officeDocument/2006/relationships/hyperlink" Target="https://drive.google.com/file/d/1JV964Gwk8WHh9YKYYBAibD-3mUmGGGwy/view?usp=drive_link" TargetMode="External"/><Relationship Id="rId17" Type="http://schemas.openxmlformats.org/officeDocument/2006/relationships/hyperlink" Target="https://www.youtube.com/watch?v=RhkRr9eyOzQ" TargetMode="External"/><Relationship Id="rId33" Type="http://schemas.openxmlformats.org/officeDocument/2006/relationships/hyperlink" Target="https://www.youtube.com/watch?v=_TOAv0YGGp4" TargetMode="External"/><Relationship Id="rId38" Type="http://schemas.openxmlformats.org/officeDocument/2006/relationships/hyperlink" Target="https://drive.google.com/file/d/1Vt9ekJjB7pd5MvX7l4bavDO3TJvmsW7I/view?usp=drive_link" TargetMode="External"/><Relationship Id="rId59" Type="http://schemas.openxmlformats.org/officeDocument/2006/relationships/hyperlink" Target="https://drive.google.com/file/d/1Bqia8GiS0WlNAvlFsSkBh9YR-Mzpuh1U/view?usp=drive_link" TargetMode="External"/><Relationship Id="rId103" Type="http://schemas.openxmlformats.org/officeDocument/2006/relationships/hyperlink" Target="https://www.youtube.com/watch?v=xMEs3zEzS8s" TargetMode="External"/><Relationship Id="rId108" Type="http://schemas.openxmlformats.org/officeDocument/2006/relationships/hyperlink" Target="https://drive.google.com/file/d/1AzzGUuHH2CShNVdJsU1QpoRrwzFajzju/view?usp=drive_link" TargetMode="External"/><Relationship Id="rId54" Type="http://schemas.openxmlformats.org/officeDocument/2006/relationships/hyperlink" Target="https://drive.google.com/file/d/1giR5DZGpKS14hOtO9OVczyj5W-SLJZ8o/view?usp=drive_link" TargetMode="External"/><Relationship Id="rId70" Type="http://schemas.openxmlformats.org/officeDocument/2006/relationships/hyperlink" Target="https://drive.google.com/file/d/1JV964Gwk8WHh9YKYYBAibD-3mUmGGGwy/view?usp=drive_link" TargetMode="External"/><Relationship Id="rId75" Type="http://schemas.openxmlformats.org/officeDocument/2006/relationships/hyperlink" Target="https://www.youtube.com/watch?v=Z69alqOeWBE" TargetMode="External"/><Relationship Id="rId91" Type="http://schemas.openxmlformats.org/officeDocument/2006/relationships/hyperlink" Target="https://www.youtube.com/watch?v=n8TOta_pfr4" TargetMode="External"/><Relationship Id="rId96" Type="http://schemas.openxmlformats.org/officeDocument/2006/relationships/hyperlink" Target="https://drive.google.com/file/d/1l7Zlm5ylr5m4EzL42wTkiL0oP2riLGf6/view?usp=drive_link" TargetMode="External"/><Relationship Id="rId1" Type="http://schemas.openxmlformats.org/officeDocument/2006/relationships/hyperlink" Target="https://drive.google.com/file/d/1c-jAlca3gxpQcVwNaPCNQbyDqX7bnEfF/view?usp=drive_link" TargetMode="External"/><Relationship Id="rId6" Type="http://schemas.openxmlformats.org/officeDocument/2006/relationships/hyperlink" Target="https://www.tiktok.com/@bejaranofit/video/6934709733827890437" TargetMode="External"/><Relationship Id="rId23" Type="http://schemas.openxmlformats.org/officeDocument/2006/relationships/hyperlink" Target="https://www.youtube.com/watch?v=_TOAv0YGGp4" TargetMode="External"/><Relationship Id="rId28" Type="http://schemas.openxmlformats.org/officeDocument/2006/relationships/hyperlink" Target="https://www.youtube.com/watch?v=OzRiZ6QgnTA" TargetMode="External"/><Relationship Id="rId49" Type="http://schemas.openxmlformats.org/officeDocument/2006/relationships/hyperlink" Target="https://drive.google.com/file/d/1SCPqqf-lVTA-hlf4axNLG27QxyN9aCCf/view?usp=drive_link" TargetMode="External"/><Relationship Id="rId114" Type="http://schemas.openxmlformats.org/officeDocument/2006/relationships/hyperlink" Target="https://drive.google.com/file/d/1JV964Gwk8WHh9YKYYBAibD-3mUmGGGwy/view?usp=drive_link" TargetMode="External"/><Relationship Id="rId119" Type="http://schemas.openxmlformats.org/officeDocument/2006/relationships/hyperlink" Target="https://www.youtube.com/watch?v=3D0gH8OYrAI" TargetMode="External"/><Relationship Id="rId44" Type="http://schemas.openxmlformats.org/officeDocument/2006/relationships/hyperlink" Target="https://drive.google.com/file/d/1_Mo66PrF4aYpH9T_RHIm-C6IxOER-wA7/view?usp=drive_link" TargetMode="External"/><Relationship Id="rId60" Type="http://schemas.openxmlformats.org/officeDocument/2006/relationships/hyperlink" Target="https://drive.google.com/file/d/1c8gaWoGwnWsIs94KJICyu_7XufILuS-x/view?usp=drive_link" TargetMode="External"/><Relationship Id="rId65" Type="http://schemas.openxmlformats.org/officeDocument/2006/relationships/hyperlink" Target="https://www.youtube.com/watch?v=ToJeyhydUxU" TargetMode="External"/><Relationship Id="rId81" Type="http://schemas.openxmlformats.org/officeDocument/2006/relationships/hyperlink" Target="https://drive.google.com/file/d/1Bqia8GiS0WlNAvlFsSkBh9YR-Mzpuh1U/view?usp=drive_link" TargetMode="External"/><Relationship Id="rId86" Type="http://schemas.openxmlformats.org/officeDocument/2006/relationships/hyperlink" Target="https://www.youtube.com/watch?v=M4FojyRAcuE" TargetMode="External"/><Relationship Id="rId4" Type="http://schemas.openxmlformats.org/officeDocument/2006/relationships/hyperlink" Target="https://drive.google.com/file/d/1giR5DZGpKS14hOtO9OVczyj5W-SLJZ8o/view?usp=drive_link" TargetMode="External"/><Relationship Id="rId9" Type="http://schemas.openxmlformats.org/officeDocument/2006/relationships/hyperlink" Target="https://www.youtube.com/watch?v=A1c-hSK1nM8" TargetMode="External"/><Relationship Id="rId13" Type="http://schemas.openxmlformats.org/officeDocument/2006/relationships/hyperlink" Target="https://www.youtube.com/watch?v=9ZknEYboBOQ" TargetMode="External"/><Relationship Id="rId18" Type="http://schemas.openxmlformats.org/officeDocument/2006/relationships/hyperlink" Target="https://www.youtube.com/watch?v=ZvF4Oi_6Vtg" TargetMode="External"/><Relationship Id="rId39" Type="http://schemas.openxmlformats.org/officeDocument/2006/relationships/hyperlink" Target="https://www.youtube.com/watch?v=kwJeh3QyhVE" TargetMode="External"/><Relationship Id="rId109" Type="http://schemas.openxmlformats.org/officeDocument/2006/relationships/hyperlink" Target="https://drive.google.com/file/d/1XF8sCb6p618QtFv90J9XEBCB30yZ3qxS/view?usp=drive_link" TargetMode="External"/><Relationship Id="rId34" Type="http://schemas.openxmlformats.org/officeDocument/2006/relationships/hyperlink" Target="https://www.instagram.com/reel/Cc3WK5kFuZn/" TargetMode="External"/><Relationship Id="rId50" Type="http://schemas.openxmlformats.org/officeDocument/2006/relationships/hyperlink" Target="https://www.youtube.com/watch?v=rep-qVOkqgk" TargetMode="External"/><Relationship Id="rId55" Type="http://schemas.openxmlformats.org/officeDocument/2006/relationships/hyperlink" Target="https://drive.google.com/file/d/1pM6gfgjTdAza8uq2kU-2Qbt1nSdazX-5/view?usp=drive_link" TargetMode="External"/><Relationship Id="rId76" Type="http://schemas.openxmlformats.org/officeDocument/2006/relationships/hyperlink" Target="https://www.youtube.com/watch?v=ToJeyhydUxU" TargetMode="External"/><Relationship Id="rId97" Type="http://schemas.openxmlformats.org/officeDocument/2006/relationships/hyperlink" Target="https://www.youtube.com/watch?v=IuzRCN6eG6Y" TargetMode="External"/><Relationship Id="rId104" Type="http://schemas.openxmlformats.org/officeDocument/2006/relationships/hyperlink" Target="https://www.youtube.com/watch?v=R63UajjKfnM" TargetMode="External"/><Relationship Id="rId120" Type="http://schemas.openxmlformats.org/officeDocument/2006/relationships/hyperlink" Target="https://www.youtube.com/watch?v=nFspBRHke4w" TargetMode="External"/><Relationship Id="rId7" Type="http://schemas.openxmlformats.org/officeDocument/2006/relationships/hyperlink" Target="https://drive.google.com/file/d/1XF8sCb6p618QtFv90J9XEBCB30yZ3qxS/view?usp=drive_link" TargetMode="External"/><Relationship Id="rId71" Type="http://schemas.openxmlformats.org/officeDocument/2006/relationships/hyperlink" Target="https://drive.google.com/file/d/1M09w1sYOdRN_EsZI1vaEuEFqRyDFPcTJ/view?usp=drive_link" TargetMode="External"/><Relationship Id="rId92" Type="http://schemas.openxmlformats.org/officeDocument/2006/relationships/hyperlink" Target="https://www.youtube.com/watch?v=0BT533ueEdI" TargetMode="External"/><Relationship Id="rId2" Type="http://schemas.openxmlformats.org/officeDocument/2006/relationships/hyperlink" Target="https://drive.google.com/file/d/1Lzlr7BL4Y7BP0kYmRt9zoJdBxTOAHgyx/view?usp=drive_link" TargetMode="External"/><Relationship Id="rId29" Type="http://schemas.openxmlformats.org/officeDocument/2006/relationships/hyperlink" Target="https://www.youtube.com/watch?v=ToJeyhydUxU" TargetMode="External"/><Relationship Id="rId24" Type="http://schemas.openxmlformats.org/officeDocument/2006/relationships/hyperlink" Target="https://www.instagram.com/reel/Cc3WK5kFuZn/" TargetMode="External"/><Relationship Id="rId40" Type="http://schemas.openxmlformats.org/officeDocument/2006/relationships/hyperlink" Target="https://drive.google.com/file/d/1A9E-Oci4bUG_Oz6iE0ROYKSSah0qMH3i/view?usp=drive_link" TargetMode="External"/><Relationship Id="rId45" Type="http://schemas.openxmlformats.org/officeDocument/2006/relationships/hyperlink" Target="https://drive.google.com/file/d/15Rf-6HNyCjZGqPjlOkE5TgYlP7vYw6Bq/view?usp=drive_link" TargetMode="External"/><Relationship Id="rId66" Type="http://schemas.openxmlformats.org/officeDocument/2006/relationships/hyperlink" Target="https://www.youtube.com/watch?v=zDSvdyyxH4w" TargetMode="External"/><Relationship Id="rId87" Type="http://schemas.openxmlformats.org/officeDocument/2006/relationships/hyperlink" Target="https://drive.google.com/file/d/1M09w1sYOdRN_EsZI1vaEuEFqRyDFPcTJ/view?usp=drive_link" TargetMode="External"/><Relationship Id="rId110" Type="http://schemas.openxmlformats.org/officeDocument/2006/relationships/hyperlink" Target="https://drive.google.com/file/d/1EDo4Cjb8QOghhV7CIMjR04mDk5OSpVKr/view?usp=drive_link" TargetMode="External"/><Relationship Id="rId115" Type="http://schemas.openxmlformats.org/officeDocument/2006/relationships/hyperlink" Target="https://drive.google.com/file/d/1giR5DZGpKS14hOtO9OVczyj5W-SLJZ8o/view?usp=drive_link" TargetMode="External"/><Relationship Id="rId61" Type="http://schemas.openxmlformats.org/officeDocument/2006/relationships/hyperlink" Target="https://www.youtube.com/watch?v=3ZRe_QpvRPg" TargetMode="External"/><Relationship Id="rId82" Type="http://schemas.openxmlformats.org/officeDocument/2006/relationships/hyperlink" Target="https://www.youtube.com/watch?v=_TOAv0YGGp4" TargetMode="External"/><Relationship Id="rId19" Type="http://schemas.openxmlformats.org/officeDocument/2006/relationships/hyperlink" Target="https://www.youtube.com/watch?v=nvufDW-MSQk" TargetMode="External"/><Relationship Id="rId14" Type="http://schemas.openxmlformats.org/officeDocument/2006/relationships/hyperlink" Target="https://drive.google.com/file/d/1Bqia8GiS0WlNAvlFsSkBh9YR-Mzpuh1U/view?usp=drive_link" TargetMode="External"/><Relationship Id="rId30" Type="http://schemas.openxmlformats.org/officeDocument/2006/relationships/hyperlink" Target="https://www.youtube.com/watch?v=zDSvdyyxH4w" TargetMode="External"/><Relationship Id="rId35" Type="http://schemas.openxmlformats.org/officeDocument/2006/relationships/hyperlink" Target="https://www.instagram.com/reel/Ch2vCOEPyze/" TargetMode="External"/><Relationship Id="rId56" Type="http://schemas.openxmlformats.org/officeDocument/2006/relationships/hyperlink" Target="https://drive.google.com/file/d/1DGlSoRCBWKVZlp6Qs6I_XDw7aeSF4mW6/view?usp=drive_link" TargetMode="External"/><Relationship Id="rId77" Type="http://schemas.openxmlformats.org/officeDocument/2006/relationships/hyperlink" Target="https://www.youtube.com/watch?v=zDSvdyyxH4w" TargetMode="External"/><Relationship Id="rId100" Type="http://schemas.openxmlformats.org/officeDocument/2006/relationships/hyperlink" Target="https://drive.google.com/file/d/1m6BdMdsJS0voaonASMfF224KLDsC5YY2/view?usp=drive_link" TargetMode="External"/><Relationship Id="rId105" Type="http://schemas.openxmlformats.org/officeDocument/2006/relationships/hyperlink" Target="https://www.youtube.com/watch?v=NbFt_TLP8jw" TargetMode="External"/><Relationship Id="rId8" Type="http://schemas.openxmlformats.org/officeDocument/2006/relationships/hyperlink" Target="https://drive.google.com/file/d/1dw35M6JAXuwqMcq_1qV1pf3bFKp90gco/view?usp=drive_link" TargetMode="External"/><Relationship Id="rId51" Type="http://schemas.openxmlformats.org/officeDocument/2006/relationships/hyperlink" Target="https://drive.google.com/file/d/1TvM0qs1jqtzF106kw2jt6DHNyvCZ8oLW/view?usp=drive_link" TargetMode="External"/><Relationship Id="rId72" Type="http://schemas.openxmlformats.org/officeDocument/2006/relationships/hyperlink" Target="https://drive.google.com/file/d/1h69oWuld-DbcpwRbhuxLkRkEFrPrWQlQ/view?usp=drive_link" TargetMode="External"/><Relationship Id="rId93" Type="http://schemas.openxmlformats.org/officeDocument/2006/relationships/hyperlink" Target="https://www.youtube.com/watch?v=Ijoisis41Ok" TargetMode="External"/><Relationship Id="rId98" Type="http://schemas.openxmlformats.org/officeDocument/2006/relationships/hyperlink" Target="https://drive.google.com/file/d/1_-5UoTFAcDd0sIwJ95GXgDNyQXrGBsGL/view?usp=drive_link" TargetMode="External"/><Relationship Id="rId121" Type="http://schemas.openxmlformats.org/officeDocument/2006/relationships/drawing" Target="../drawings/drawing4.xml"/><Relationship Id="rId3" Type="http://schemas.openxmlformats.org/officeDocument/2006/relationships/hyperlink" Target="https://drive.google.com/file/d/1v8UbYadvl9KDu5VSdIClaXlRbMhYcPE_/view?usp=sharing" TargetMode="External"/><Relationship Id="rId25" Type="http://schemas.openxmlformats.org/officeDocument/2006/relationships/hyperlink" Target="https://www.youtube.com/watch?v=9ZknEYboBOQ" TargetMode="External"/><Relationship Id="rId46" Type="http://schemas.openxmlformats.org/officeDocument/2006/relationships/hyperlink" Target="https://drive.google.com/file/d/1FIrdFhPSyiWgKlJqtpM3SFK-GSbzxlez/view?usp=drive_link" TargetMode="External"/><Relationship Id="rId67" Type="http://schemas.openxmlformats.org/officeDocument/2006/relationships/hyperlink" Target="https://www.youtube.com/watch?v=9ZknEYboBOQ" TargetMode="External"/><Relationship Id="rId116" Type="http://schemas.openxmlformats.org/officeDocument/2006/relationships/hyperlink" Target="https://drive.google.com/file/d/1M09w1sYOdRN_EsZI1vaEuEFqRyDFPcTJ/view?usp=drive_link" TargetMode="External"/><Relationship Id="rId20" Type="http://schemas.openxmlformats.org/officeDocument/2006/relationships/hyperlink" Target="https://www.instagram.com/reel/CkG2d_JtbA2/" TargetMode="External"/><Relationship Id="rId41" Type="http://schemas.openxmlformats.org/officeDocument/2006/relationships/hyperlink" Target="https://drive.google.com/file/d/1AzzGUuHH2CShNVdJsU1QpoRrwzFajzju/view?usp=drive_link" TargetMode="External"/><Relationship Id="rId62" Type="http://schemas.openxmlformats.org/officeDocument/2006/relationships/hyperlink" Target="https://www.youtube.com/watch?v=JjK5ZA_Mw3Q" TargetMode="External"/><Relationship Id="rId83" Type="http://schemas.openxmlformats.org/officeDocument/2006/relationships/hyperlink" Target="https://www.instagram.com/reel/Cc3WK5kFuZn/" TargetMode="External"/><Relationship Id="rId88" Type="http://schemas.openxmlformats.org/officeDocument/2006/relationships/hyperlink" Target="https://drive.google.com/file/d/1h69oWuld-DbcpwRbhuxLkRkEFrPrWQlQ/view?usp=drive_link" TargetMode="External"/><Relationship Id="rId111" Type="http://schemas.openxmlformats.org/officeDocument/2006/relationships/hyperlink" Target="https://drive.google.com/file/d/1c8gaWoGwnWsIs94KJICyu_7XufILuS-x/view?usp=drive_link" TargetMode="External"/><Relationship Id="rId15" Type="http://schemas.openxmlformats.org/officeDocument/2006/relationships/hyperlink" Target="https://drive.google.com/file/d/1XE33YhFz9hp948CMycu_v-Vcqehf_iix/view?usp=drive_link" TargetMode="External"/><Relationship Id="rId36" Type="http://schemas.openxmlformats.org/officeDocument/2006/relationships/hyperlink" Target="https://drive.google.com/file/d/1l7Zlm5ylr5m4EzL42wTkiL0oP2riLGf6/view?usp=drive_link" TargetMode="External"/><Relationship Id="rId57" Type="http://schemas.openxmlformats.org/officeDocument/2006/relationships/hyperlink" Target="https://www.instagram.com/reel/Coxg8rtNo5k/" TargetMode="External"/><Relationship Id="rId106" Type="http://schemas.openxmlformats.org/officeDocument/2006/relationships/hyperlink" Target="https://drive.google.com/file/d/1TvM0qs1jqtzF106kw2jt6DHNyvCZ8oLW/view?usp=drive_link" TargetMode="External"/><Relationship Id="rId10" Type="http://schemas.openxmlformats.org/officeDocument/2006/relationships/hyperlink" Target="https://drive.google.com/file/d/1lfp7u-_TJkdWQgX1PQJp-xowMwxWO4Ac/view?usp=drive_link" TargetMode="External"/><Relationship Id="rId31" Type="http://schemas.openxmlformats.org/officeDocument/2006/relationships/hyperlink" Target="https://drive.google.com/file/d/1EDo4Cjb8QOghhV7CIMjR04mDk5OSpVKr/view?usp=drive_link" TargetMode="External"/><Relationship Id="rId52" Type="http://schemas.openxmlformats.org/officeDocument/2006/relationships/hyperlink" Target="https://www.youtube.com/watch?v=NbFt_TLP8jw" TargetMode="External"/><Relationship Id="rId73" Type="http://schemas.openxmlformats.org/officeDocument/2006/relationships/hyperlink" Target="https://drive.google.com/file/d/1h69oWuld-DbcpwRbhuxLkRkEFrPrWQlQ/view?usp=drive_link" TargetMode="External"/><Relationship Id="rId78" Type="http://schemas.openxmlformats.org/officeDocument/2006/relationships/hyperlink" Target="https://www.youtube.com/watch?v=3D0gH8OYrAI" TargetMode="External"/><Relationship Id="rId94" Type="http://schemas.openxmlformats.org/officeDocument/2006/relationships/hyperlink" Target="https://www.youtube.com/watch?v=TWuRleT-9XQ" TargetMode="External"/><Relationship Id="rId99" Type="http://schemas.openxmlformats.org/officeDocument/2006/relationships/hyperlink" Target="https://drive.google.com/file/d/1spwtKnS07Zr2Kdhcp-mzAQnXpxrLxabK/view?usp=drive_link" TargetMode="External"/><Relationship Id="rId101" Type="http://schemas.openxmlformats.org/officeDocument/2006/relationships/hyperlink" Target="https://drive.google.com/file/d/1dw35M6JAXuwqMcq_1qV1pf3bFKp90gco/view?usp=drive_lin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T37"/>
  <sheetViews>
    <sheetView showGridLines="0" zoomScale="90" zoomScaleNormal="90" zoomScalePageLayoutView="90" workbookViewId="0">
      <selection activeCell="A9" sqref="A9:T37"/>
    </sheetView>
  </sheetViews>
  <sheetFormatPr defaultColWidth="11" defaultRowHeight="15.75" x14ac:dyDescent="0.25"/>
  <cols>
    <col min="1" max="1" width="22.375" customWidth="1"/>
    <col min="5" max="5" width="22.625" bestFit="1" customWidth="1"/>
    <col min="6" max="6" width="24.125" customWidth="1"/>
    <col min="8" max="8" width="4.375" bestFit="1" customWidth="1"/>
    <col min="9" max="9" width="13" bestFit="1" customWidth="1"/>
    <col min="10" max="10" width="7.875" bestFit="1" customWidth="1"/>
    <col min="11" max="11" width="4.125" bestFit="1" customWidth="1"/>
    <col min="12" max="12" width="4.375" bestFit="1" customWidth="1"/>
  </cols>
  <sheetData>
    <row r="1" spans="1:20" ht="21.75" thickBot="1" x14ac:dyDescent="0.3">
      <c r="E1" s="19" t="s">
        <v>20</v>
      </c>
      <c r="F1" s="67" t="s">
        <v>54</v>
      </c>
      <c r="I1" s="99" t="s">
        <v>29</v>
      </c>
      <c r="J1" s="100"/>
      <c r="K1" s="100"/>
      <c r="L1" s="101"/>
    </row>
    <row r="2" spans="1:20" ht="21" x14ac:dyDescent="0.25">
      <c r="E2" s="20" t="s">
        <v>21</v>
      </c>
      <c r="F2" s="50">
        <v>23</v>
      </c>
      <c r="I2" s="22" t="s">
        <v>31</v>
      </c>
      <c r="J2" s="102">
        <v>2300</v>
      </c>
      <c r="K2" s="102"/>
      <c r="L2" s="23" t="s">
        <v>34</v>
      </c>
    </row>
    <row r="3" spans="1:20" ht="21" x14ac:dyDescent="0.25">
      <c r="E3" s="20" t="s">
        <v>22</v>
      </c>
      <c r="F3" s="51" t="s">
        <v>51</v>
      </c>
      <c r="I3" s="24" t="s">
        <v>32</v>
      </c>
      <c r="J3" s="17">
        <v>0.45</v>
      </c>
      <c r="K3" s="18">
        <f>J3*$J$2/4</f>
        <v>258.75</v>
      </c>
      <c r="L3" s="25" t="s">
        <v>35</v>
      </c>
    </row>
    <row r="4" spans="1:20" ht="21" x14ac:dyDescent="0.25">
      <c r="E4" s="20" t="s">
        <v>23</v>
      </c>
      <c r="F4" s="50">
        <v>177</v>
      </c>
      <c r="I4" s="24" t="s">
        <v>33</v>
      </c>
      <c r="J4" s="17">
        <v>0.3</v>
      </c>
      <c r="K4" s="18">
        <f>J4*$J$2/4</f>
        <v>172.5</v>
      </c>
      <c r="L4" s="25" t="s">
        <v>35</v>
      </c>
    </row>
    <row r="5" spans="1:20" ht="21.75" thickBot="1" x14ac:dyDescent="0.3">
      <c r="E5" s="20" t="s">
        <v>24</v>
      </c>
      <c r="F5" s="50">
        <v>79</v>
      </c>
      <c r="I5" s="26" t="s">
        <v>26</v>
      </c>
      <c r="J5" s="27">
        <v>0.25</v>
      </c>
      <c r="K5" s="28">
        <f>J5*$J$2/9</f>
        <v>63.888888888888886</v>
      </c>
      <c r="L5" s="29" t="s">
        <v>35</v>
      </c>
    </row>
    <row r="6" spans="1:20" ht="21" x14ac:dyDescent="0.25">
      <c r="E6" s="20" t="s">
        <v>25</v>
      </c>
      <c r="F6" s="50" t="s">
        <v>53</v>
      </c>
      <c r="J6" s="66">
        <f>SUM(J3:J5)</f>
        <v>1</v>
      </c>
    </row>
    <row r="7" spans="1:20" ht="21.75" thickBot="1" x14ac:dyDescent="0.3">
      <c r="E7" s="21" t="s">
        <v>30</v>
      </c>
      <c r="F7" s="49" t="s">
        <v>52</v>
      </c>
    </row>
    <row r="9" spans="1:20" ht="15.95" customHeight="1" x14ac:dyDescent="0.25">
      <c r="A9" s="103" t="s">
        <v>92</v>
      </c>
      <c r="B9" s="103"/>
      <c r="C9" s="103"/>
      <c r="D9" s="103"/>
      <c r="E9" s="103"/>
      <c r="F9" s="103"/>
      <c r="G9" s="103"/>
      <c r="H9" s="103"/>
      <c r="I9" s="103"/>
      <c r="J9" s="103"/>
      <c r="K9" s="103"/>
      <c r="L9" s="103"/>
      <c r="M9" s="103"/>
      <c r="N9" s="103"/>
      <c r="O9" s="103"/>
      <c r="P9" s="103"/>
      <c r="Q9" s="103"/>
      <c r="R9" s="103"/>
      <c r="S9" s="103"/>
      <c r="T9" s="103"/>
    </row>
    <row r="10" spans="1:20" x14ac:dyDescent="0.25">
      <c r="A10" s="103"/>
      <c r="B10" s="103"/>
      <c r="C10" s="103"/>
      <c r="D10" s="103"/>
      <c r="E10" s="103"/>
      <c r="F10" s="103"/>
      <c r="G10" s="103"/>
      <c r="H10" s="103"/>
      <c r="I10" s="103"/>
      <c r="J10" s="103"/>
      <c r="K10" s="103"/>
      <c r="L10" s="103"/>
      <c r="M10" s="103"/>
      <c r="N10" s="103"/>
      <c r="O10" s="103"/>
      <c r="P10" s="103"/>
      <c r="Q10" s="103"/>
      <c r="R10" s="103"/>
      <c r="S10" s="103"/>
      <c r="T10" s="103"/>
    </row>
    <row r="11" spans="1:20" x14ac:dyDescent="0.25">
      <c r="A11" s="103"/>
      <c r="B11" s="103"/>
      <c r="C11" s="103"/>
      <c r="D11" s="103"/>
      <c r="E11" s="103"/>
      <c r="F11" s="103"/>
      <c r="G11" s="103"/>
      <c r="H11" s="103"/>
      <c r="I11" s="103"/>
      <c r="J11" s="103"/>
      <c r="K11" s="103"/>
      <c r="L11" s="103"/>
      <c r="M11" s="103"/>
      <c r="N11" s="103"/>
      <c r="O11" s="103"/>
      <c r="P11" s="103"/>
      <c r="Q11" s="103"/>
      <c r="R11" s="103"/>
      <c r="S11" s="103"/>
      <c r="T11" s="103"/>
    </row>
    <row r="12" spans="1:20" x14ac:dyDescent="0.25">
      <c r="A12" s="103"/>
      <c r="B12" s="103"/>
      <c r="C12" s="103"/>
      <c r="D12" s="103"/>
      <c r="E12" s="103"/>
      <c r="F12" s="103"/>
      <c r="G12" s="103"/>
      <c r="H12" s="103"/>
      <c r="I12" s="103"/>
      <c r="J12" s="103"/>
      <c r="K12" s="103"/>
      <c r="L12" s="103"/>
      <c r="M12" s="103"/>
      <c r="N12" s="103"/>
      <c r="O12" s="103"/>
      <c r="P12" s="103"/>
      <c r="Q12" s="103"/>
      <c r="R12" s="103"/>
      <c r="S12" s="103"/>
      <c r="T12" s="103"/>
    </row>
    <row r="13" spans="1:20" x14ac:dyDescent="0.25">
      <c r="A13" s="103"/>
      <c r="B13" s="103"/>
      <c r="C13" s="103"/>
      <c r="D13" s="103"/>
      <c r="E13" s="103"/>
      <c r="F13" s="103"/>
      <c r="G13" s="103"/>
      <c r="H13" s="103"/>
      <c r="I13" s="103"/>
      <c r="J13" s="103"/>
      <c r="K13" s="103"/>
      <c r="L13" s="103"/>
      <c r="M13" s="103"/>
      <c r="N13" s="103"/>
      <c r="O13" s="103"/>
      <c r="P13" s="103"/>
      <c r="Q13" s="103"/>
      <c r="R13" s="103"/>
      <c r="S13" s="103"/>
      <c r="T13" s="103"/>
    </row>
    <row r="14" spans="1:20" x14ac:dyDescent="0.25">
      <c r="A14" s="103"/>
      <c r="B14" s="103"/>
      <c r="C14" s="103"/>
      <c r="D14" s="103"/>
      <c r="E14" s="103"/>
      <c r="F14" s="103"/>
      <c r="G14" s="103"/>
      <c r="H14" s="103"/>
      <c r="I14" s="103"/>
      <c r="J14" s="103"/>
      <c r="K14" s="103"/>
      <c r="L14" s="103"/>
      <c r="M14" s="103"/>
      <c r="N14" s="103"/>
      <c r="O14" s="103"/>
      <c r="P14" s="103"/>
      <c r="Q14" s="103"/>
      <c r="R14" s="103"/>
      <c r="S14" s="103"/>
      <c r="T14" s="103"/>
    </row>
    <row r="15" spans="1:20" x14ac:dyDescent="0.25">
      <c r="A15" s="103"/>
      <c r="B15" s="103"/>
      <c r="C15" s="103"/>
      <c r="D15" s="103"/>
      <c r="E15" s="103"/>
      <c r="F15" s="103"/>
      <c r="G15" s="103"/>
      <c r="H15" s="103"/>
      <c r="I15" s="103"/>
      <c r="J15" s="103"/>
      <c r="K15" s="103"/>
      <c r="L15" s="103"/>
      <c r="M15" s="103"/>
      <c r="N15" s="103"/>
      <c r="O15" s="103"/>
      <c r="P15" s="103"/>
      <c r="Q15" s="103"/>
      <c r="R15" s="103"/>
      <c r="S15" s="103"/>
      <c r="T15" s="103"/>
    </row>
    <row r="16" spans="1:20" x14ac:dyDescent="0.25">
      <c r="A16" s="103"/>
      <c r="B16" s="103"/>
      <c r="C16" s="103"/>
      <c r="D16" s="103"/>
      <c r="E16" s="103"/>
      <c r="F16" s="103"/>
      <c r="G16" s="103"/>
      <c r="H16" s="103"/>
      <c r="I16" s="103"/>
      <c r="J16" s="103"/>
      <c r="K16" s="103"/>
      <c r="L16" s="103"/>
      <c r="M16" s="103"/>
      <c r="N16" s="103"/>
      <c r="O16" s="103"/>
      <c r="P16" s="103"/>
      <c r="Q16" s="103"/>
      <c r="R16" s="103"/>
      <c r="S16" s="103"/>
      <c r="T16" s="103"/>
    </row>
    <row r="17" spans="1:20" x14ac:dyDescent="0.25">
      <c r="A17" s="103"/>
      <c r="B17" s="103"/>
      <c r="C17" s="103"/>
      <c r="D17" s="103"/>
      <c r="E17" s="103"/>
      <c r="F17" s="103"/>
      <c r="G17" s="103"/>
      <c r="H17" s="103"/>
      <c r="I17" s="103"/>
      <c r="J17" s="103"/>
      <c r="K17" s="103"/>
      <c r="L17" s="103"/>
      <c r="M17" s="103"/>
      <c r="N17" s="103"/>
      <c r="O17" s="103"/>
      <c r="P17" s="103"/>
      <c r="Q17" s="103"/>
      <c r="R17" s="103"/>
      <c r="S17" s="103"/>
      <c r="T17" s="103"/>
    </row>
    <row r="18" spans="1:20" x14ac:dyDescent="0.25">
      <c r="A18" s="103"/>
      <c r="B18" s="103"/>
      <c r="C18" s="103"/>
      <c r="D18" s="103"/>
      <c r="E18" s="103"/>
      <c r="F18" s="103"/>
      <c r="G18" s="103"/>
      <c r="H18" s="103"/>
      <c r="I18" s="103"/>
      <c r="J18" s="103"/>
      <c r="K18" s="103"/>
      <c r="L18" s="103"/>
      <c r="M18" s="103"/>
      <c r="N18" s="103"/>
      <c r="O18" s="103"/>
      <c r="P18" s="103"/>
      <c r="Q18" s="103"/>
      <c r="R18" s="103"/>
      <c r="S18" s="103"/>
      <c r="T18" s="103"/>
    </row>
    <row r="19" spans="1:20" x14ac:dyDescent="0.25">
      <c r="A19" s="103"/>
      <c r="B19" s="103"/>
      <c r="C19" s="103"/>
      <c r="D19" s="103"/>
      <c r="E19" s="103"/>
      <c r="F19" s="103"/>
      <c r="G19" s="103"/>
      <c r="H19" s="103"/>
      <c r="I19" s="103"/>
      <c r="J19" s="103"/>
      <c r="K19" s="103"/>
      <c r="L19" s="103"/>
      <c r="M19" s="103"/>
      <c r="N19" s="103"/>
      <c r="O19" s="103"/>
      <c r="P19" s="103"/>
      <c r="Q19" s="103"/>
      <c r="R19" s="103"/>
      <c r="S19" s="103"/>
      <c r="T19" s="103"/>
    </row>
    <row r="20" spans="1:20" x14ac:dyDescent="0.25">
      <c r="A20" s="103"/>
      <c r="B20" s="103"/>
      <c r="C20" s="103"/>
      <c r="D20" s="103"/>
      <c r="E20" s="103"/>
      <c r="F20" s="103"/>
      <c r="G20" s="103"/>
      <c r="H20" s="103"/>
      <c r="I20" s="103"/>
      <c r="J20" s="103"/>
      <c r="K20" s="103"/>
      <c r="L20" s="103"/>
      <c r="M20" s="103"/>
      <c r="N20" s="103"/>
      <c r="O20" s="103"/>
      <c r="P20" s="103"/>
      <c r="Q20" s="103"/>
      <c r="R20" s="103"/>
      <c r="S20" s="103"/>
      <c r="T20" s="103"/>
    </row>
    <row r="21" spans="1:20" x14ac:dyDescent="0.25">
      <c r="A21" s="103"/>
      <c r="B21" s="103"/>
      <c r="C21" s="103"/>
      <c r="D21" s="103"/>
      <c r="E21" s="103"/>
      <c r="F21" s="103"/>
      <c r="G21" s="103"/>
      <c r="H21" s="103"/>
      <c r="I21" s="103"/>
      <c r="J21" s="103"/>
      <c r="K21" s="103"/>
      <c r="L21" s="103"/>
      <c r="M21" s="103"/>
      <c r="N21" s="103"/>
      <c r="O21" s="103"/>
      <c r="P21" s="103"/>
      <c r="Q21" s="103"/>
      <c r="R21" s="103"/>
      <c r="S21" s="103"/>
      <c r="T21" s="103"/>
    </row>
    <row r="22" spans="1:20" x14ac:dyDescent="0.25">
      <c r="A22" s="103"/>
      <c r="B22" s="103"/>
      <c r="C22" s="103"/>
      <c r="D22" s="103"/>
      <c r="E22" s="103"/>
      <c r="F22" s="103"/>
      <c r="G22" s="103"/>
      <c r="H22" s="103"/>
      <c r="I22" s="103"/>
      <c r="J22" s="103"/>
      <c r="K22" s="103"/>
      <c r="L22" s="103"/>
      <c r="M22" s="103"/>
      <c r="N22" s="103"/>
      <c r="O22" s="103"/>
      <c r="P22" s="103"/>
      <c r="Q22" s="103"/>
      <c r="R22" s="103"/>
      <c r="S22" s="103"/>
      <c r="T22" s="103"/>
    </row>
    <row r="23" spans="1:20" x14ac:dyDescent="0.25">
      <c r="A23" s="103"/>
      <c r="B23" s="103"/>
      <c r="C23" s="103"/>
      <c r="D23" s="103"/>
      <c r="E23" s="103"/>
      <c r="F23" s="103"/>
      <c r="G23" s="103"/>
      <c r="H23" s="103"/>
      <c r="I23" s="103"/>
      <c r="J23" s="103"/>
      <c r="K23" s="103"/>
      <c r="L23" s="103"/>
      <c r="M23" s="103"/>
      <c r="N23" s="103"/>
      <c r="O23" s="103"/>
      <c r="P23" s="103"/>
      <c r="Q23" s="103"/>
      <c r="R23" s="103"/>
      <c r="S23" s="103"/>
      <c r="T23" s="103"/>
    </row>
    <row r="24" spans="1:20" x14ac:dyDescent="0.25">
      <c r="A24" s="103"/>
      <c r="B24" s="103"/>
      <c r="C24" s="103"/>
      <c r="D24" s="103"/>
      <c r="E24" s="103"/>
      <c r="F24" s="103"/>
      <c r="G24" s="103"/>
      <c r="H24" s="103"/>
      <c r="I24" s="103"/>
      <c r="J24" s="103"/>
      <c r="K24" s="103"/>
      <c r="L24" s="103"/>
      <c r="M24" s="103"/>
      <c r="N24" s="103"/>
      <c r="O24" s="103"/>
      <c r="P24" s="103"/>
      <c r="Q24" s="103"/>
      <c r="R24" s="103"/>
      <c r="S24" s="103"/>
      <c r="T24" s="103"/>
    </row>
    <row r="25" spans="1:20" x14ac:dyDescent="0.25">
      <c r="A25" s="103"/>
      <c r="B25" s="103"/>
      <c r="C25" s="103"/>
      <c r="D25" s="103"/>
      <c r="E25" s="103"/>
      <c r="F25" s="103"/>
      <c r="G25" s="103"/>
      <c r="H25" s="103"/>
      <c r="I25" s="103"/>
      <c r="J25" s="103"/>
      <c r="K25" s="103"/>
      <c r="L25" s="103"/>
      <c r="M25" s="103"/>
      <c r="N25" s="103"/>
      <c r="O25" s="103"/>
      <c r="P25" s="103"/>
      <c r="Q25" s="103"/>
      <c r="R25" s="103"/>
      <c r="S25" s="103"/>
      <c r="T25" s="103"/>
    </row>
    <row r="26" spans="1:20" x14ac:dyDescent="0.25">
      <c r="A26" s="103"/>
      <c r="B26" s="103"/>
      <c r="C26" s="103"/>
      <c r="D26" s="103"/>
      <c r="E26" s="103"/>
      <c r="F26" s="103"/>
      <c r="G26" s="103"/>
      <c r="H26" s="103"/>
      <c r="I26" s="103"/>
      <c r="J26" s="103"/>
      <c r="K26" s="103"/>
      <c r="L26" s="103"/>
      <c r="M26" s="103"/>
      <c r="N26" s="103"/>
      <c r="O26" s="103"/>
      <c r="P26" s="103"/>
      <c r="Q26" s="103"/>
      <c r="R26" s="103"/>
      <c r="S26" s="103"/>
      <c r="T26" s="103"/>
    </row>
    <row r="27" spans="1:20" x14ac:dyDescent="0.25">
      <c r="A27" s="103"/>
      <c r="B27" s="103"/>
      <c r="C27" s="103"/>
      <c r="D27" s="103"/>
      <c r="E27" s="103"/>
      <c r="F27" s="103"/>
      <c r="G27" s="103"/>
      <c r="H27" s="103"/>
      <c r="I27" s="103"/>
      <c r="J27" s="103"/>
      <c r="K27" s="103"/>
      <c r="L27" s="103"/>
      <c r="M27" s="103"/>
      <c r="N27" s="103"/>
      <c r="O27" s="103"/>
      <c r="P27" s="103"/>
      <c r="Q27" s="103"/>
      <c r="R27" s="103"/>
      <c r="S27" s="103"/>
      <c r="T27" s="103"/>
    </row>
    <row r="28" spans="1:20" x14ac:dyDescent="0.25">
      <c r="A28" s="103"/>
      <c r="B28" s="103"/>
      <c r="C28" s="103"/>
      <c r="D28" s="103"/>
      <c r="E28" s="103"/>
      <c r="F28" s="103"/>
      <c r="G28" s="103"/>
      <c r="H28" s="103"/>
      <c r="I28" s="103"/>
      <c r="J28" s="103"/>
      <c r="K28" s="103"/>
      <c r="L28" s="103"/>
      <c r="M28" s="103"/>
      <c r="N28" s="103"/>
      <c r="O28" s="103"/>
      <c r="P28" s="103"/>
      <c r="Q28" s="103"/>
      <c r="R28" s="103"/>
      <c r="S28" s="103"/>
      <c r="T28" s="103"/>
    </row>
    <row r="29" spans="1:20" x14ac:dyDescent="0.25">
      <c r="A29" s="103"/>
      <c r="B29" s="103"/>
      <c r="C29" s="103"/>
      <c r="D29" s="103"/>
      <c r="E29" s="103"/>
      <c r="F29" s="103"/>
      <c r="G29" s="103"/>
      <c r="H29" s="103"/>
      <c r="I29" s="103"/>
      <c r="J29" s="103"/>
      <c r="K29" s="103"/>
      <c r="L29" s="103"/>
      <c r="M29" s="103"/>
      <c r="N29" s="103"/>
      <c r="O29" s="103"/>
      <c r="P29" s="103"/>
      <c r="Q29" s="103"/>
      <c r="R29" s="103"/>
      <c r="S29" s="103"/>
      <c r="T29" s="103"/>
    </row>
    <row r="30" spans="1:20" x14ac:dyDescent="0.25">
      <c r="A30" s="103"/>
      <c r="B30" s="103"/>
      <c r="C30" s="103"/>
      <c r="D30" s="103"/>
      <c r="E30" s="103"/>
      <c r="F30" s="103"/>
      <c r="G30" s="103"/>
      <c r="H30" s="103"/>
      <c r="I30" s="103"/>
      <c r="J30" s="103"/>
      <c r="K30" s="103"/>
      <c r="L30" s="103"/>
      <c r="M30" s="103"/>
      <c r="N30" s="103"/>
      <c r="O30" s="103"/>
      <c r="P30" s="103"/>
      <c r="Q30" s="103"/>
      <c r="R30" s="103"/>
      <c r="S30" s="103"/>
      <c r="T30" s="103"/>
    </row>
    <row r="31" spans="1:20" x14ac:dyDescent="0.25">
      <c r="A31" s="103"/>
      <c r="B31" s="103"/>
      <c r="C31" s="103"/>
      <c r="D31" s="103"/>
      <c r="E31" s="103"/>
      <c r="F31" s="103"/>
      <c r="G31" s="103"/>
      <c r="H31" s="103"/>
      <c r="I31" s="103"/>
      <c r="J31" s="103"/>
      <c r="K31" s="103"/>
      <c r="L31" s="103"/>
      <c r="M31" s="103"/>
      <c r="N31" s="103"/>
      <c r="O31" s="103"/>
      <c r="P31" s="103"/>
      <c r="Q31" s="103"/>
      <c r="R31" s="103"/>
      <c r="S31" s="103"/>
      <c r="T31" s="103"/>
    </row>
    <row r="32" spans="1:20" x14ac:dyDescent="0.25">
      <c r="A32" s="103"/>
      <c r="B32" s="103"/>
      <c r="C32" s="103"/>
      <c r="D32" s="103"/>
      <c r="E32" s="103"/>
      <c r="F32" s="103"/>
      <c r="G32" s="103"/>
      <c r="H32" s="103"/>
      <c r="I32" s="103"/>
      <c r="J32" s="103"/>
      <c r="K32" s="103"/>
      <c r="L32" s="103"/>
      <c r="M32" s="103"/>
      <c r="N32" s="103"/>
      <c r="O32" s="103"/>
      <c r="P32" s="103"/>
      <c r="Q32" s="103"/>
      <c r="R32" s="103"/>
      <c r="S32" s="103"/>
      <c r="T32" s="103"/>
    </row>
    <row r="33" spans="1:20" x14ac:dyDescent="0.25">
      <c r="A33" s="103"/>
      <c r="B33" s="103"/>
      <c r="C33" s="103"/>
      <c r="D33" s="103"/>
      <c r="E33" s="103"/>
      <c r="F33" s="103"/>
      <c r="G33" s="103"/>
      <c r="H33" s="103"/>
      <c r="I33" s="103"/>
      <c r="J33" s="103"/>
      <c r="K33" s="103"/>
      <c r="L33" s="103"/>
      <c r="M33" s="103"/>
      <c r="N33" s="103"/>
      <c r="O33" s="103"/>
      <c r="P33" s="103"/>
      <c r="Q33" s="103"/>
      <c r="R33" s="103"/>
      <c r="S33" s="103"/>
      <c r="T33" s="103"/>
    </row>
    <row r="34" spans="1:20" x14ac:dyDescent="0.25">
      <c r="A34" s="103"/>
      <c r="B34" s="103"/>
      <c r="C34" s="103"/>
      <c r="D34" s="103"/>
      <c r="E34" s="103"/>
      <c r="F34" s="103"/>
      <c r="G34" s="103"/>
      <c r="H34" s="103"/>
      <c r="I34" s="103"/>
      <c r="J34" s="103"/>
      <c r="K34" s="103"/>
      <c r="L34" s="103"/>
      <c r="M34" s="103"/>
      <c r="N34" s="103"/>
      <c r="O34" s="103"/>
      <c r="P34" s="103"/>
      <c r="Q34" s="103"/>
      <c r="R34" s="103"/>
      <c r="S34" s="103"/>
      <c r="T34" s="103"/>
    </row>
    <row r="35" spans="1:20" x14ac:dyDescent="0.25">
      <c r="A35" s="103"/>
      <c r="B35" s="103"/>
      <c r="C35" s="103"/>
      <c r="D35" s="103"/>
      <c r="E35" s="103"/>
      <c r="F35" s="103"/>
      <c r="G35" s="103"/>
      <c r="H35" s="103"/>
      <c r="I35" s="103"/>
      <c r="J35" s="103"/>
      <c r="K35" s="103"/>
      <c r="L35" s="103"/>
      <c r="M35" s="103"/>
      <c r="N35" s="103"/>
      <c r="O35" s="103"/>
      <c r="P35" s="103"/>
      <c r="Q35" s="103"/>
      <c r="R35" s="103"/>
      <c r="S35" s="103"/>
      <c r="T35" s="103"/>
    </row>
    <row r="36" spans="1:20" x14ac:dyDescent="0.25">
      <c r="A36" s="103"/>
      <c r="B36" s="103"/>
      <c r="C36" s="103"/>
      <c r="D36" s="103"/>
      <c r="E36" s="103"/>
      <c r="F36" s="103"/>
      <c r="G36" s="103"/>
      <c r="H36" s="103"/>
      <c r="I36" s="103"/>
      <c r="J36" s="103"/>
      <c r="K36" s="103"/>
      <c r="L36" s="103"/>
      <c r="M36" s="103"/>
      <c r="N36" s="103"/>
      <c r="O36" s="103"/>
      <c r="P36" s="103"/>
      <c r="Q36" s="103"/>
      <c r="R36" s="103"/>
      <c r="S36" s="103"/>
      <c r="T36" s="103"/>
    </row>
    <row r="37" spans="1:20" x14ac:dyDescent="0.25">
      <c r="A37" s="103"/>
      <c r="B37" s="103"/>
      <c r="C37" s="103"/>
      <c r="D37" s="103"/>
      <c r="E37" s="103"/>
      <c r="F37" s="103"/>
      <c r="G37" s="103"/>
      <c r="H37" s="103"/>
      <c r="I37" s="103"/>
      <c r="J37" s="103"/>
      <c r="K37" s="103"/>
      <c r="L37" s="103"/>
      <c r="M37" s="103"/>
      <c r="N37" s="103"/>
      <c r="O37" s="103"/>
      <c r="P37" s="103"/>
      <c r="Q37" s="103"/>
      <c r="R37" s="103"/>
      <c r="S37" s="103"/>
      <c r="T37" s="103"/>
    </row>
  </sheetData>
  <mergeCells count="3">
    <mergeCell ref="I1:L1"/>
    <mergeCell ref="J2:K2"/>
    <mergeCell ref="A9:T3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mepezar">
                <anchor moveWithCells="1" sizeWithCells="1">
                  <from>
                    <xdr:col>0</xdr:col>
                    <xdr:colOff>1381125</xdr:colOff>
                    <xdr:row>37</xdr:row>
                    <xdr:rowOff>123825</xdr:rowOff>
                  </from>
                  <to>
                    <xdr:col>3</xdr:col>
                    <xdr:colOff>238125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C23"/>
  <sheetViews>
    <sheetView zoomScale="70" zoomScaleNormal="70" zoomScalePageLayoutView="70" workbookViewId="0">
      <selection activeCell="J23" sqref="J23"/>
    </sheetView>
  </sheetViews>
  <sheetFormatPr defaultColWidth="10.875" defaultRowHeight="23.25" x14ac:dyDescent="0.35"/>
  <cols>
    <col min="1" max="2" width="15" style="1" customWidth="1"/>
    <col min="3" max="3" width="17.5" style="1" customWidth="1"/>
    <col min="4" max="4" width="23.625" style="1" bestFit="1" customWidth="1"/>
    <col min="5" max="5" width="10.125" style="1" bestFit="1" customWidth="1"/>
    <col min="6" max="6" width="14.375" style="1" bestFit="1" customWidth="1"/>
    <col min="7" max="7" width="12.875" style="1" customWidth="1"/>
    <col min="8" max="8" width="14" style="1" customWidth="1"/>
    <col min="9" max="9" width="19.125" style="1" customWidth="1"/>
    <col min="10" max="10" width="21.5" style="1" customWidth="1"/>
    <col min="11" max="45" width="10.875" style="1"/>
    <col min="46" max="47" width="15" style="1" customWidth="1"/>
    <col min="48" max="48" width="17.5" style="1" customWidth="1"/>
    <col min="49" max="49" width="23.625" style="1" bestFit="1" customWidth="1"/>
    <col min="50" max="50" width="11.625" style="1" bestFit="1" customWidth="1"/>
    <col min="51" max="51" width="14.375" style="1" bestFit="1" customWidth="1"/>
    <col min="52" max="52" width="12.875" style="1" customWidth="1"/>
    <col min="53" max="53" width="14" style="1" customWidth="1"/>
    <col min="54" max="54" width="19.125" style="1" customWidth="1"/>
    <col min="55" max="55" width="21.5" style="1" customWidth="1"/>
    <col min="56" max="85" width="10.875" style="1"/>
    <col min="86" max="87" width="15" style="1" customWidth="1"/>
    <col min="88" max="88" width="17.5" style="1" customWidth="1"/>
    <col min="89" max="89" width="15.875" style="1" customWidth="1"/>
    <col min="90" max="90" width="24" style="1" bestFit="1" customWidth="1"/>
    <col min="91" max="91" width="12" style="1" customWidth="1"/>
    <col min="92" max="92" width="12.875" style="1" customWidth="1"/>
    <col min="93" max="93" width="14" style="1" customWidth="1"/>
    <col min="94" max="94" width="19.125" style="1" customWidth="1"/>
    <col min="95" max="95" width="21.5" style="1" customWidth="1"/>
    <col min="96" max="152" width="10.875" style="1"/>
    <col min="153" max="154" width="15" style="1" customWidth="1"/>
    <col min="155" max="155" width="17.5" style="1" customWidth="1"/>
    <col min="156" max="156" width="15.875" style="1" customWidth="1"/>
    <col min="157" max="157" width="24" style="1" bestFit="1" customWidth="1"/>
    <col min="158" max="158" width="12" style="1" customWidth="1"/>
    <col min="159" max="159" width="12.875" style="1" customWidth="1"/>
    <col min="160" max="160" width="14" style="1" customWidth="1"/>
    <col min="161" max="161" width="19.125" style="1" customWidth="1"/>
    <col min="162" max="162" width="21.5" style="1" customWidth="1"/>
    <col min="163" max="227" width="10.875" style="1"/>
    <col min="228" max="229" width="15" style="1" customWidth="1"/>
    <col min="230" max="230" width="17.5" style="1" customWidth="1"/>
    <col min="231" max="231" width="15.875" style="1" customWidth="1"/>
    <col min="232" max="232" width="24" style="1" bestFit="1" customWidth="1"/>
    <col min="233" max="233" width="12" style="1" customWidth="1"/>
    <col min="234" max="234" width="12.875" style="1" customWidth="1"/>
    <col min="235" max="235" width="14" style="1" customWidth="1"/>
    <col min="236" max="236" width="19.125" style="1" customWidth="1"/>
    <col min="237" max="237" width="21.5" style="1" customWidth="1"/>
    <col min="238" max="16384" width="10.875" style="1"/>
  </cols>
  <sheetData>
    <row r="1" spans="1:237" x14ac:dyDescent="0.35">
      <c r="D1" s="104" t="s">
        <v>36</v>
      </c>
      <c r="E1" s="104"/>
      <c r="F1" s="104"/>
      <c r="G1" s="104"/>
      <c r="H1" s="104"/>
      <c r="I1" s="104"/>
      <c r="J1" s="104"/>
      <c r="K1" s="104"/>
      <c r="L1" s="104"/>
      <c r="M1" s="104"/>
    </row>
    <row r="2" spans="1:237" ht="24" customHeight="1" x14ac:dyDescent="0.35">
      <c r="D2" s="104"/>
      <c r="E2" s="104"/>
      <c r="F2" s="104"/>
      <c r="G2" s="104"/>
      <c r="H2" s="104"/>
      <c r="I2" s="104"/>
      <c r="J2" s="104"/>
      <c r="K2" s="104"/>
      <c r="L2" s="104"/>
      <c r="M2" s="104"/>
    </row>
    <row r="3" spans="1:237" ht="24" customHeight="1" x14ac:dyDescent="0.35">
      <c r="D3" s="104"/>
      <c r="E3" s="104"/>
      <c r="F3" s="104"/>
      <c r="G3" s="104"/>
      <c r="H3" s="104"/>
      <c r="I3" s="104"/>
      <c r="J3" s="104"/>
      <c r="K3" s="104"/>
      <c r="L3" s="104"/>
      <c r="M3" s="104"/>
    </row>
    <row r="4" spans="1:237" ht="24" customHeight="1" x14ac:dyDescent="0.35">
      <c r="D4" s="104"/>
      <c r="E4" s="104"/>
      <c r="F4" s="104"/>
      <c r="G4" s="104"/>
      <c r="H4" s="104"/>
      <c r="I4" s="104"/>
      <c r="J4" s="104"/>
      <c r="K4" s="104"/>
      <c r="L4" s="104"/>
      <c r="M4" s="104"/>
    </row>
    <row r="5" spans="1:237" ht="24" customHeight="1" x14ac:dyDescent="0.35">
      <c r="D5" s="104"/>
      <c r="E5" s="104"/>
      <c r="F5" s="104"/>
      <c r="G5" s="104"/>
      <c r="H5" s="104"/>
      <c r="I5" s="104"/>
      <c r="J5" s="104"/>
      <c r="K5" s="104"/>
      <c r="L5" s="104"/>
      <c r="M5" s="104"/>
    </row>
    <row r="6" spans="1:237" ht="24" customHeight="1" x14ac:dyDescent="0.35">
      <c r="D6" s="104"/>
      <c r="E6" s="104"/>
      <c r="F6" s="104"/>
      <c r="G6" s="104"/>
      <c r="H6" s="104"/>
      <c r="I6" s="104"/>
      <c r="J6" s="104"/>
      <c r="K6" s="104"/>
      <c r="L6" s="104"/>
      <c r="M6" s="104"/>
    </row>
    <row r="7" spans="1:237" ht="24" thickBot="1" x14ac:dyDescent="0.4"/>
    <row r="8" spans="1:237" ht="24" thickBot="1" x14ac:dyDescent="0.4">
      <c r="A8" s="108" t="s">
        <v>8</v>
      </c>
      <c r="B8" s="109"/>
      <c r="C8" s="109"/>
      <c r="D8" s="109"/>
      <c r="E8" s="109"/>
      <c r="F8" s="109"/>
      <c r="G8" s="109"/>
      <c r="H8" s="109"/>
      <c r="I8" s="109"/>
      <c r="J8" s="110"/>
      <c r="AT8" s="108" t="s">
        <v>8</v>
      </c>
      <c r="AU8" s="109"/>
      <c r="AV8" s="109"/>
      <c r="AW8" s="109"/>
      <c r="AX8" s="109"/>
      <c r="AY8" s="109"/>
      <c r="AZ8" s="109"/>
      <c r="BA8" s="109"/>
      <c r="BB8" s="109"/>
      <c r="BC8" s="110"/>
      <c r="CH8" s="108" t="s">
        <v>8</v>
      </c>
      <c r="CI8" s="109"/>
      <c r="CJ8" s="109"/>
      <c r="CK8" s="109"/>
      <c r="CL8" s="109"/>
      <c r="CM8" s="109"/>
      <c r="CN8" s="109"/>
      <c r="CO8" s="109"/>
      <c r="CP8" s="109"/>
      <c r="CQ8" s="110"/>
      <c r="EW8" s="108" t="s">
        <v>8</v>
      </c>
      <c r="EX8" s="109"/>
      <c r="EY8" s="109"/>
      <c r="EZ8" s="109"/>
      <c r="FA8" s="109"/>
      <c r="FB8" s="109"/>
      <c r="FC8" s="109"/>
      <c r="FD8" s="109"/>
      <c r="FE8" s="109"/>
      <c r="FF8" s="110"/>
      <c r="HT8" s="108" t="s">
        <v>8</v>
      </c>
      <c r="HU8" s="109"/>
      <c r="HV8" s="109"/>
      <c r="HW8" s="109"/>
      <c r="HX8" s="109"/>
      <c r="HY8" s="109"/>
      <c r="HZ8" s="109"/>
      <c r="IA8" s="109"/>
      <c r="IB8" s="109"/>
      <c r="IC8" s="110"/>
    </row>
    <row r="9" spans="1:237" ht="46.5" x14ac:dyDescent="0.35">
      <c r="A9" s="111" t="s">
        <v>7</v>
      </c>
      <c r="B9" s="112"/>
      <c r="C9" s="8" t="s">
        <v>12</v>
      </c>
      <c r="D9" s="3" t="s">
        <v>10</v>
      </c>
      <c r="E9" s="3" t="s">
        <v>28</v>
      </c>
      <c r="F9" s="3" t="s">
        <v>27</v>
      </c>
      <c r="G9" s="3" t="s">
        <v>14</v>
      </c>
      <c r="H9" s="4" t="s">
        <v>15</v>
      </c>
      <c r="I9" s="4" t="s">
        <v>16</v>
      </c>
      <c r="J9" s="4" t="s">
        <v>18</v>
      </c>
      <c r="AT9" s="111" t="s">
        <v>7</v>
      </c>
      <c r="AU9" s="112"/>
      <c r="AV9" s="3" t="s">
        <v>12</v>
      </c>
      <c r="AW9" s="8" t="s">
        <v>10</v>
      </c>
      <c r="AX9" s="8" t="s">
        <v>11</v>
      </c>
      <c r="AY9" s="8" t="s">
        <v>27</v>
      </c>
      <c r="AZ9" s="3" t="s">
        <v>14</v>
      </c>
      <c r="BA9" s="4" t="s">
        <v>15</v>
      </c>
      <c r="BB9" s="4" t="s">
        <v>16</v>
      </c>
      <c r="BC9" s="4" t="s">
        <v>18</v>
      </c>
      <c r="CH9" s="111" t="s">
        <v>7</v>
      </c>
      <c r="CI9" s="112"/>
      <c r="CJ9" s="3" t="s">
        <v>12</v>
      </c>
      <c r="CK9" s="3" t="s">
        <v>9</v>
      </c>
      <c r="CL9" s="3" t="s">
        <v>10</v>
      </c>
      <c r="CM9" s="3" t="s">
        <v>11</v>
      </c>
      <c r="CN9" s="8" t="s">
        <v>14</v>
      </c>
      <c r="CO9" s="4" t="s">
        <v>15</v>
      </c>
      <c r="CP9" s="4" t="s">
        <v>16</v>
      </c>
      <c r="CQ9" s="4" t="s">
        <v>18</v>
      </c>
      <c r="EW9" s="111" t="s">
        <v>7</v>
      </c>
      <c r="EX9" s="112"/>
      <c r="EY9" s="3" t="s">
        <v>12</v>
      </c>
      <c r="EZ9" s="3" t="s">
        <v>9</v>
      </c>
      <c r="FA9" s="3" t="s">
        <v>10</v>
      </c>
      <c r="FB9" s="3" t="s">
        <v>11</v>
      </c>
      <c r="FC9" s="4" t="s">
        <v>14</v>
      </c>
      <c r="FD9" s="11" t="s">
        <v>15</v>
      </c>
      <c r="FE9" s="11" t="s">
        <v>16</v>
      </c>
      <c r="FF9" s="4" t="s">
        <v>18</v>
      </c>
      <c r="HT9" s="111" t="s">
        <v>7</v>
      </c>
      <c r="HU9" s="112"/>
      <c r="HV9" s="3" t="s">
        <v>12</v>
      </c>
      <c r="HW9" s="3" t="s">
        <v>9</v>
      </c>
      <c r="HX9" s="3" t="s">
        <v>10</v>
      </c>
      <c r="HY9" s="3" t="s">
        <v>11</v>
      </c>
      <c r="HZ9" s="4" t="s">
        <v>14</v>
      </c>
      <c r="IA9" s="4" t="s">
        <v>15</v>
      </c>
      <c r="IB9" s="4" t="s">
        <v>16</v>
      </c>
      <c r="IC9" s="11" t="s">
        <v>18</v>
      </c>
    </row>
    <row r="10" spans="1:237" x14ac:dyDescent="0.35">
      <c r="A10" s="5" t="s">
        <v>0</v>
      </c>
      <c r="B10" s="6">
        <v>43346</v>
      </c>
      <c r="C10" s="9"/>
      <c r="D10" s="2"/>
      <c r="E10" s="2"/>
      <c r="F10" s="2"/>
      <c r="G10" s="2"/>
      <c r="H10" s="2"/>
      <c r="I10" s="2"/>
      <c r="J10" s="2"/>
      <c r="AT10" s="5" t="s">
        <v>0</v>
      </c>
      <c r="AU10" s="6">
        <v>43346</v>
      </c>
      <c r="AV10" s="2"/>
      <c r="AW10" s="10"/>
      <c r="AX10" s="10"/>
      <c r="AY10" s="10"/>
      <c r="AZ10" s="2"/>
      <c r="BA10" s="2"/>
      <c r="BB10" s="2"/>
      <c r="BC10" s="2"/>
      <c r="CH10" s="5" t="s">
        <v>0</v>
      </c>
      <c r="CI10" s="6">
        <v>43346</v>
      </c>
      <c r="CJ10" s="2"/>
      <c r="CK10" s="2"/>
      <c r="CL10" s="2"/>
      <c r="CM10" s="2"/>
      <c r="CN10" s="10"/>
      <c r="CO10" s="2"/>
      <c r="CP10" s="2"/>
      <c r="CQ10" s="2"/>
      <c r="EW10" s="5" t="s">
        <v>0</v>
      </c>
      <c r="EX10" s="6">
        <v>43346</v>
      </c>
      <c r="EY10" s="2"/>
      <c r="EZ10" s="2"/>
      <c r="FA10" s="2"/>
      <c r="FB10" s="2"/>
      <c r="FC10" s="2"/>
      <c r="FD10" s="10"/>
      <c r="FE10" s="10"/>
      <c r="FF10" s="2"/>
      <c r="HT10" s="5" t="s">
        <v>0</v>
      </c>
      <c r="HU10" s="6">
        <v>43346</v>
      </c>
      <c r="HV10" s="2"/>
      <c r="HW10" s="2"/>
      <c r="HX10" s="2"/>
      <c r="HY10" s="2"/>
      <c r="HZ10" s="2"/>
      <c r="IA10" s="2"/>
      <c r="IB10" s="2"/>
      <c r="IC10" s="10"/>
    </row>
    <row r="11" spans="1:237" x14ac:dyDescent="0.35">
      <c r="A11" s="5" t="s">
        <v>1</v>
      </c>
      <c r="B11" s="6">
        <f>B10+1</f>
        <v>43347</v>
      </c>
      <c r="C11" s="9"/>
      <c r="D11" s="2"/>
      <c r="E11" s="2"/>
      <c r="F11" s="2"/>
      <c r="G11" s="2"/>
      <c r="H11" s="2"/>
      <c r="I11" s="2"/>
      <c r="J11" s="2"/>
      <c r="AT11" s="5" t="s">
        <v>1</v>
      </c>
      <c r="AU11" s="6">
        <f>AU10+1</f>
        <v>43347</v>
      </c>
      <c r="AV11" s="2"/>
      <c r="AW11" s="10"/>
      <c r="AX11" s="10"/>
      <c r="AY11" s="10"/>
      <c r="AZ11" s="2"/>
      <c r="BA11" s="2"/>
      <c r="BB11" s="2"/>
      <c r="BC11" s="2"/>
      <c r="CH11" s="5" t="s">
        <v>1</v>
      </c>
      <c r="CI11" s="6">
        <f>CI10+1</f>
        <v>43347</v>
      </c>
      <c r="CJ11" s="2"/>
      <c r="CK11" s="2"/>
      <c r="CL11" s="2"/>
      <c r="CM11" s="2"/>
      <c r="CN11" s="10"/>
      <c r="CO11" s="2"/>
      <c r="CP11" s="2"/>
      <c r="CQ11" s="2"/>
      <c r="EW11" s="5" t="s">
        <v>1</v>
      </c>
      <c r="EX11" s="6">
        <f>EX10+1</f>
        <v>43347</v>
      </c>
      <c r="EY11" s="2"/>
      <c r="EZ11" s="2"/>
      <c r="FA11" s="2"/>
      <c r="FB11" s="2"/>
      <c r="FC11" s="2"/>
      <c r="FD11" s="10"/>
      <c r="FE11" s="10"/>
      <c r="FF11" s="2"/>
      <c r="HT11" s="5" t="s">
        <v>1</v>
      </c>
      <c r="HU11" s="6">
        <f>HU10+1</f>
        <v>43347</v>
      </c>
      <c r="HV11" s="2"/>
      <c r="HW11" s="2"/>
      <c r="HX11" s="2"/>
      <c r="HY11" s="2"/>
      <c r="HZ11" s="2"/>
      <c r="IA11" s="2"/>
      <c r="IB11" s="2"/>
      <c r="IC11" s="10"/>
    </row>
    <row r="12" spans="1:237" x14ac:dyDescent="0.35">
      <c r="A12" s="5" t="s">
        <v>2</v>
      </c>
      <c r="B12" s="6">
        <f t="shared" ref="B12:B16" si="0">B11+1</f>
        <v>43348</v>
      </c>
      <c r="C12" s="9"/>
      <c r="D12" s="2"/>
      <c r="E12" s="2"/>
      <c r="F12" s="2"/>
      <c r="G12" s="2"/>
      <c r="H12" s="2"/>
      <c r="I12" s="2"/>
      <c r="J12" s="2"/>
      <c r="AT12" s="5" t="s">
        <v>2</v>
      </c>
      <c r="AU12" s="6">
        <f t="shared" ref="AU12:AU16" si="1">AU11+1</f>
        <v>43348</v>
      </c>
      <c r="AV12" s="2"/>
      <c r="AW12" s="10"/>
      <c r="AX12" s="10"/>
      <c r="AY12" s="10"/>
      <c r="AZ12" s="2"/>
      <c r="BA12" s="2"/>
      <c r="BB12" s="2"/>
      <c r="BC12" s="2"/>
      <c r="CH12" s="5" t="s">
        <v>2</v>
      </c>
      <c r="CI12" s="6">
        <f t="shared" ref="CI12:CI16" si="2">CI11+1</f>
        <v>43348</v>
      </c>
      <c r="CJ12" s="2"/>
      <c r="CK12" s="2"/>
      <c r="CL12" s="2"/>
      <c r="CM12" s="2"/>
      <c r="CN12" s="10"/>
      <c r="CO12" s="2"/>
      <c r="CP12" s="2"/>
      <c r="CQ12" s="2"/>
      <c r="EW12" s="5" t="s">
        <v>2</v>
      </c>
      <c r="EX12" s="6">
        <f t="shared" ref="EX12:EX16" si="3">EX11+1</f>
        <v>43348</v>
      </c>
      <c r="EY12" s="2"/>
      <c r="EZ12" s="2"/>
      <c r="FA12" s="2"/>
      <c r="FB12" s="2"/>
      <c r="FC12" s="2"/>
      <c r="FD12" s="10"/>
      <c r="FE12" s="10"/>
      <c r="FF12" s="2"/>
      <c r="HT12" s="5" t="s">
        <v>2</v>
      </c>
      <c r="HU12" s="6">
        <f t="shared" ref="HU12:HU16" si="4">HU11+1</f>
        <v>43348</v>
      </c>
      <c r="HV12" s="2"/>
      <c r="HW12" s="2"/>
      <c r="HX12" s="2"/>
      <c r="HY12" s="2"/>
      <c r="HZ12" s="2"/>
      <c r="IA12" s="2"/>
      <c r="IB12" s="2"/>
      <c r="IC12" s="10"/>
    </row>
    <row r="13" spans="1:237" x14ac:dyDescent="0.35">
      <c r="A13" s="5" t="s">
        <v>3</v>
      </c>
      <c r="B13" s="6">
        <f t="shared" si="0"/>
        <v>43349</v>
      </c>
      <c r="C13" s="9"/>
      <c r="D13" s="2"/>
      <c r="E13" s="2"/>
      <c r="F13" s="2"/>
      <c r="G13" s="2"/>
      <c r="H13" s="2"/>
      <c r="I13" s="2"/>
      <c r="J13" s="2"/>
      <c r="AT13" s="5" t="s">
        <v>3</v>
      </c>
      <c r="AU13" s="6">
        <f t="shared" si="1"/>
        <v>43349</v>
      </c>
      <c r="AV13" s="2"/>
      <c r="AW13" s="10"/>
      <c r="AX13" s="10"/>
      <c r="AY13" s="10"/>
      <c r="AZ13" s="2"/>
      <c r="BA13" s="2"/>
      <c r="BB13" s="2"/>
      <c r="BC13" s="2"/>
      <c r="CH13" s="5" t="s">
        <v>3</v>
      </c>
      <c r="CI13" s="6">
        <f t="shared" si="2"/>
        <v>43349</v>
      </c>
      <c r="CJ13" s="2"/>
      <c r="CK13" s="2"/>
      <c r="CL13" s="2"/>
      <c r="CM13" s="2"/>
      <c r="CN13" s="10"/>
      <c r="CO13" s="2"/>
      <c r="CP13" s="2"/>
      <c r="CQ13" s="2"/>
      <c r="EW13" s="5" t="s">
        <v>3</v>
      </c>
      <c r="EX13" s="6">
        <f t="shared" si="3"/>
        <v>43349</v>
      </c>
      <c r="EY13" s="2"/>
      <c r="EZ13" s="2"/>
      <c r="FA13" s="2"/>
      <c r="FB13" s="2"/>
      <c r="FC13" s="2"/>
      <c r="FD13" s="10"/>
      <c r="FE13" s="10"/>
      <c r="FF13" s="2"/>
      <c r="HT13" s="5" t="s">
        <v>3</v>
      </c>
      <c r="HU13" s="6">
        <f t="shared" si="4"/>
        <v>43349</v>
      </c>
      <c r="HV13" s="2"/>
      <c r="HW13" s="2"/>
      <c r="HX13" s="2"/>
      <c r="HY13" s="2"/>
      <c r="HZ13" s="2"/>
      <c r="IA13" s="2"/>
      <c r="IB13" s="2"/>
      <c r="IC13" s="10"/>
    </row>
    <row r="14" spans="1:237" x14ac:dyDescent="0.35">
      <c r="A14" s="5" t="s">
        <v>4</v>
      </c>
      <c r="B14" s="6">
        <f t="shared" si="0"/>
        <v>43350</v>
      </c>
      <c r="C14" s="9"/>
      <c r="D14" s="2"/>
      <c r="E14" s="2"/>
      <c r="F14" s="2"/>
      <c r="G14" s="2"/>
      <c r="H14" s="2"/>
      <c r="I14" s="2"/>
      <c r="J14" s="2"/>
      <c r="AT14" s="5" t="s">
        <v>4</v>
      </c>
      <c r="AU14" s="6">
        <f t="shared" si="1"/>
        <v>43350</v>
      </c>
      <c r="AV14" s="2"/>
      <c r="AW14" s="10"/>
      <c r="AX14" s="10"/>
      <c r="AY14" s="10"/>
      <c r="AZ14" s="2"/>
      <c r="BA14" s="2"/>
      <c r="BB14" s="2"/>
      <c r="BC14" s="2"/>
      <c r="CH14" s="5" t="s">
        <v>4</v>
      </c>
      <c r="CI14" s="6">
        <f t="shared" si="2"/>
        <v>43350</v>
      </c>
      <c r="CJ14" s="2"/>
      <c r="CK14" s="2"/>
      <c r="CL14" s="2"/>
      <c r="CM14" s="2"/>
      <c r="CN14" s="10"/>
      <c r="CO14" s="2"/>
      <c r="CP14" s="2"/>
      <c r="CQ14" s="2"/>
      <c r="EW14" s="5" t="s">
        <v>4</v>
      </c>
      <c r="EX14" s="6">
        <f t="shared" si="3"/>
        <v>43350</v>
      </c>
      <c r="EY14" s="2"/>
      <c r="EZ14" s="2"/>
      <c r="FA14" s="2"/>
      <c r="FB14" s="2"/>
      <c r="FC14" s="2"/>
      <c r="FD14" s="10"/>
      <c r="FE14" s="10"/>
      <c r="FF14" s="2"/>
      <c r="HT14" s="5" t="s">
        <v>4</v>
      </c>
      <c r="HU14" s="6">
        <f t="shared" si="4"/>
        <v>43350</v>
      </c>
      <c r="HV14" s="2"/>
      <c r="HW14" s="2"/>
      <c r="HX14" s="2"/>
      <c r="HY14" s="2"/>
      <c r="HZ14" s="2"/>
      <c r="IA14" s="2"/>
      <c r="IB14" s="2"/>
      <c r="IC14" s="10"/>
    </row>
    <row r="15" spans="1:237" x14ac:dyDescent="0.35">
      <c r="A15" s="5" t="s">
        <v>5</v>
      </c>
      <c r="B15" s="6">
        <f t="shared" si="0"/>
        <v>43351</v>
      </c>
      <c r="C15" s="9"/>
      <c r="D15" s="2"/>
      <c r="E15" s="2"/>
      <c r="F15" s="2"/>
      <c r="G15" s="2"/>
      <c r="H15" s="2"/>
      <c r="I15" s="2"/>
      <c r="J15" s="2"/>
      <c r="AT15" s="5" t="s">
        <v>5</v>
      </c>
      <c r="AU15" s="6">
        <f t="shared" si="1"/>
        <v>43351</v>
      </c>
      <c r="AV15" s="2"/>
      <c r="AW15" s="10"/>
      <c r="AX15" s="10"/>
      <c r="AY15" s="10"/>
      <c r="AZ15" s="2"/>
      <c r="BA15" s="2"/>
      <c r="BB15" s="2"/>
      <c r="BC15" s="2"/>
      <c r="CH15" s="5" t="s">
        <v>5</v>
      </c>
      <c r="CI15" s="6">
        <f t="shared" si="2"/>
        <v>43351</v>
      </c>
      <c r="CJ15" s="2"/>
      <c r="CK15" s="2"/>
      <c r="CL15" s="2"/>
      <c r="CM15" s="2"/>
      <c r="CN15" s="10"/>
      <c r="CO15" s="2"/>
      <c r="CP15" s="2"/>
      <c r="CQ15" s="2"/>
      <c r="EW15" s="5" t="s">
        <v>5</v>
      </c>
      <c r="EX15" s="6">
        <f t="shared" si="3"/>
        <v>43351</v>
      </c>
      <c r="EY15" s="2"/>
      <c r="EZ15" s="2"/>
      <c r="FA15" s="2"/>
      <c r="FB15" s="2"/>
      <c r="FC15" s="2"/>
      <c r="FD15" s="10"/>
      <c r="FE15" s="10"/>
      <c r="FF15" s="2"/>
      <c r="HT15" s="5" t="s">
        <v>5</v>
      </c>
      <c r="HU15" s="6">
        <f t="shared" si="4"/>
        <v>43351</v>
      </c>
      <c r="HV15" s="2"/>
      <c r="HW15" s="2"/>
      <c r="HX15" s="2"/>
      <c r="HY15" s="2"/>
      <c r="HZ15" s="2"/>
      <c r="IA15" s="2"/>
      <c r="IB15" s="2"/>
      <c r="IC15" s="10"/>
    </row>
    <row r="16" spans="1:237" x14ac:dyDescent="0.35">
      <c r="A16" s="5" t="s">
        <v>6</v>
      </c>
      <c r="B16" s="6">
        <f t="shared" si="0"/>
        <v>43352</v>
      </c>
      <c r="C16" s="9"/>
      <c r="D16" s="2"/>
      <c r="E16" s="2"/>
      <c r="F16" s="2"/>
      <c r="G16" s="2"/>
      <c r="H16" s="2"/>
      <c r="I16" s="2"/>
      <c r="J16" s="2"/>
      <c r="AT16" s="5" t="s">
        <v>6</v>
      </c>
      <c r="AU16" s="6">
        <f t="shared" si="1"/>
        <v>43352</v>
      </c>
      <c r="AV16" s="2"/>
      <c r="AW16" s="10"/>
      <c r="AX16" s="10"/>
      <c r="AY16" s="10"/>
      <c r="AZ16" s="2"/>
      <c r="BA16" s="2"/>
      <c r="BB16" s="2"/>
      <c r="BC16" s="2"/>
      <c r="CH16" s="5" t="s">
        <v>6</v>
      </c>
      <c r="CI16" s="6">
        <f t="shared" si="2"/>
        <v>43352</v>
      </c>
      <c r="CJ16" s="2"/>
      <c r="CK16" s="2"/>
      <c r="CL16" s="2"/>
      <c r="CM16" s="2"/>
      <c r="CN16" s="10"/>
      <c r="CO16" s="2"/>
      <c r="CP16" s="2"/>
      <c r="CQ16" s="2"/>
      <c r="EW16" s="5" t="s">
        <v>6</v>
      </c>
      <c r="EX16" s="6">
        <f t="shared" si="3"/>
        <v>43352</v>
      </c>
      <c r="EY16" s="2"/>
      <c r="EZ16" s="2"/>
      <c r="FA16" s="2"/>
      <c r="FB16" s="2"/>
      <c r="FC16" s="2"/>
      <c r="FD16" s="10"/>
      <c r="FE16" s="10"/>
      <c r="FF16" s="2"/>
      <c r="HT16" s="5" t="s">
        <v>6</v>
      </c>
      <c r="HU16" s="6">
        <f t="shared" si="4"/>
        <v>43352</v>
      </c>
      <c r="HV16" s="2"/>
      <c r="HW16" s="2"/>
      <c r="HX16" s="2"/>
      <c r="HY16" s="2"/>
      <c r="HZ16" s="2"/>
      <c r="IA16" s="2"/>
      <c r="IB16" s="2"/>
      <c r="IC16" s="10"/>
    </row>
    <row r="17" spans="1:237" x14ac:dyDescent="0.35">
      <c r="A17" s="7" t="s">
        <v>13</v>
      </c>
      <c r="B17" s="7"/>
      <c r="C17" s="1" t="str">
        <f>IF(C10=0," ",AVERAGE(C10:C16))</f>
        <v xml:space="preserve"> </v>
      </c>
      <c r="D17" s="1" t="str">
        <f t="shared" ref="D17:G17" si="5">IF(D10=0," ",AVERAGE(D10:D16))</f>
        <v xml:space="preserve"> </v>
      </c>
      <c r="E17" s="1" t="str">
        <f t="shared" si="5"/>
        <v xml:space="preserve"> </v>
      </c>
      <c r="F17" s="1" t="str">
        <f t="shared" si="5"/>
        <v xml:space="preserve"> </v>
      </c>
      <c r="G17" s="1" t="str">
        <f t="shared" si="5"/>
        <v xml:space="preserve"> </v>
      </c>
      <c r="I17" s="1" t="str">
        <f t="shared" ref="I17" si="6">IF(I10=0," ",AVERAGE(I10:I16))</f>
        <v xml:space="preserve"> </v>
      </c>
      <c r="AT17" s="7" t="s">
        <v>13</v>
      </c>
      <c r="AU17" s="7"/>
      <c r="AV17" s="1" t="str">
        <f>IF(AV10=0," ",AVERAGE(AV10:AV16))</f>
        <v xml:space="preserve"> </v>
      </c>
      <c r="AW17" s="1" t="str">
        <f t="shared" ref="AW17" si="7">IF(AW10=0," ",AVERAGE(AW10:AW16))</f>
        <v xml:space="preserve"> </v>
      </c>
      <c r="AX17" s="1" t="str">
        <f t="shared" ref="AX17" si="8">IF(AX10=0," ",AVERAGE(AX10:AX16))</f>
        <v xml:space="preserve"> </v>
      </c>
      <c r="AY17" s="1" t="str">
        <f t="shared" ref="AY17" si="9">IF(AY10=0," ",AVERAGE(AY10:AY16))</f>
        <v xml:space="preserve"> </v>
      </c>
      <c r="AZ17" s="1" t="str">
        <f t="shared" ref="AZ17" si="10">IF(AZ10=0," ",AVERAGE(AZ10:AZ16))</f>
        <v xml:space="preserve"> </v>
      </c>
      <c r="BB17" s="1" t="str">
        <f t="shared" ref="BB17" si="11">IF(BB10=0," ",AVERAGE(BB10:BB16))</f>
        <v xml:space="preserve"> </v>
      </c>
      <c r="CH17" s="7" t="s">
        <v>13</v>
      </c>
      <c r="CI17" s="7"/>
      <c r="CJ17" s="1" t="str">
        <f>IF(CJ10=0," ",AVERAGE(CJ10:CJ16))</f>
        <v xml:space="preserve"> </v>
      </c>
      <c r="CK17" s="1" t="str">
        <f t="shared" ref="CK17" si="12">IF(CK10=0," ",AVERAGE(CK10:CK16))</f>
        <v xml:space="preserve"> </v>
      </c>
      <c r="CL17" s="1" t="str">
        <f t="shared" ref="CL17" si="13">IF(CL10=0," ",AVERAGE(CL10:CL16))</f>
        <v xml:space="preserve"> </v>
      </c>
      <c r="CM17" s="1" t="str">
        <f t="shared" ref="CM17" si="14">IF(CM10=0," ",AVERAGE(CM10:CM16))</f>
        <v xml:space="preserve"> </v>
      </c>
      <c r="CN17" s="1" t="str">
        <f t="shared" ref="CN17" si="15">IF(CN10=0," ",AVERAGE(CN10:CN16))</f>
        <v xml:space="preserve"> </v>
      </c>
      <c r="CP17" s="1" t="str">
        <f t="shared" ref="CP17" si="16">IF(CP10=0," ",AVERAGE(CP10:CP16))</f>
        <v xml:space="preserve"> </v>
      </c>
      <c r="EW17" s="7" t="s">
        <v>13</v>
      </c>
      <c r="EX17" s="7"/>
      <c r="EY17" s="1" t="str">
        <f>IF(EY10=0," ",AVERAGE(EY10:EY16))</f>
        <v xml:space="preserve"> </v>
      </c>
      <c r="EZ17" s="1" t="str">
        <f t="shared" ref="EZ17" si="17">IF(EZ10=0," ",AVERAGE(EZ10:EZ16))</f>
        <v xml:space="preserve"> </v>
      </c>
      <c r="FA17" s="1" t="str">
        <f t="shared" ref="FA17" si="18">IF(FA10=0," ",AVERAGE(FA10:FA16))</f>
        <v xml:space="preserve"> </v>
      </c>
      <c r="FB17" s="1" t="str">
        <f t="shared" ref="FB17" si="19">IF(FB10=0," ",AVERAGE(FB10:FB16))</f>
        <v xml:space="preserve"> </v>
      </c>
      <c r="FC17" s="1" t="str">
        <f t="shared" ref="FC17" si="20">IF(FC10=0," ",AVERAGE(FC10:FC16))</f>
        <v xml:space="preserve"> </v>
      </c>
      <c r="FE17" s="1" t="str">
        <f t="shared" ref="FE17" si="21">IF(FE10=0," ",AVERAGE(FE10:FE16))</f>
        <v xml:space="preserve"> </v>
      </c>
      <c r="HT17" s="7" t="s">
        <v>13</v>
      </c>
      <c r="HU17" s="7"/>
      <c r="HV17" s="1" t="str">
        <f>IF(HV10=0," ",AVERAGE(HV10:HV16))</f>
        <v xml:space="preserve"> </v>
      </c>
      <c r="HW17" s="1" t="str">
        <f t="shared" ref="HW17" si="22">IF(HW10=0," ",AVERAGE(HW10:HW16))</f>
        <v xml:space="preserve"> </v>
      </c>
      <c r="HX17" s="1" t="str">
        <f t="shared" ref="HX17" si="23">IF(HX10=0," ",AVERAGE(HX10:HX16))</f>
        <v xml:space="preserve"> </v>
      </c>
      <c r="HY17" s="1" t="str">
        <f t="shared" ref="HY17" si="24">IF(HY10=0," ",AVERAGE(HY10:HY16))</f>
        <v xml:space="preserve"> </v>
      </c>
      <c r="HZ17" s="1" t="str">
        <f t="shared" ref="HZ17" si="25">IF(HZ10=0," ",AVERAGE(HZ10:HZ16))</f>
        <v xml:space="preserve"> </v>
      </c>
      <c r="IB17" s="1" t="str">
        <f t="shared" ref="IB17" si="26">IF(IB10=0," ",AVERAGE(IB10:IB16))</f>
        <v xml:space="preserve"> </v>
      </c>
    </row>
    <row r="18" spans="1:237" ht="24" customHeight="1" x14ac:dyDescent="0.35">
      <c r="C18" s="107" t="s">
        <v>48</v>
      </c>
      <c r="D18" s="107"/>
      <c r="E18" s="107"/>
      <c r="F18" s="107"/>
      <c r="G18" s="107"/>
      <c r="H18" s="107"/>
      <c r="I18" s="107"/>
      <c r="J18" s="107"/>
      <c r="AW18" s="105" t="s">
        <v>49</v>
      </c>
      <c r="AX18" s="105"/>
      <c r="AY18" s="105"/>
      <c r="AZ18" s="105"/>
      <c r="BA18" s="105"/>
      <c r="BB18" s="105"/>
      <c r="BC18" s="105"/>
      <c r="BD18" s="105"/>
      <c r="BE18" s="105"/>
      <c r="BF18" s="105"/>
      <c r="CN18" s="105" t="s">
        <v>44</v>
      </c>
      <c r="CO18" s="105"/>
      <c r="CP18" s="105"/>
      <c r="CQ18" s="105"/>
      <c r="CR18" s="105"/>
      <c r="CS18" s="105"/>
      <c r="CT18" s="105"/>
      <c r="CU18" s="105"/>
      <c r="FC18" s="106" t="s">
        <v>37</v>
      </c>
      <c r="FD18" s="106"/>
      <c r="FE18" s="106"/>
      <c r="FF18" s="106"/>
      <c r="FG18" s="106"/>
      <c r="FH18" s="106"/>
      <c r="FI18" s="106"/>
      <c r="FJ18" s="106"/>
      <c r="FK18" s="106"/>
      <c r="HX18" s="105" t="s">
        <v>38</v>
      </c>
      <c r="HY18" s="105"/>
      <c r="HZ18" s="105"/>
      <c r="IA18" s="105"/>
      <c r="IB18" s="105"/>
      <c r="IC18" s="105"/>
    </row>
    <row r="19" spans="1:237" ht="24" customHeight="1" x14ac:dyDescent="0.35">
      <c r="C19" s="107"/>
      <c r="D19" s="107"/>
      <c r="E19" s="107"/>
      <c r="F19" s="107"/>
      <c r="G19" s="107"/>
      <c r="H19" s="107"/>
      <c r="I19" s="107"/>
      <c r="J19" s="107"/>
      <c r="AW19" s="105"/>
      <c r="AX19" s="105"/>
      <c r="AY19" s="105"/>
      <c r="AZ19" s="105"/>
      <c r="BA19" s="105"/>
      <c r="BB19" s="105"/>
      <c r="BC19" s="105"/>
      <c r="BD19" s="105"/>
      <c r="BE19" s="105"/>
      <c r="BF19" s="105"/>
      <c r="CN19" s="105"/>
      <c r="CO19" s="105"/>
      <c r="CP19" s="105"/>
      <c r="CQ19" s="105"/>
      <c r="CR19" s="105"/>
      <c r="CS19" s="105"/>
      <c r="CT19" s="105"/>
      <c r="CU19" s="105"/>
      <c r="FC19" s="106"/>
      <c r="FD19" s="106"/>
      <c r="FE19" s="106"/>
      <c r="FF19" s="106"/>
      <c r="FG19" s="106"/>
      <c r="FH19" s="106"/>
      <c r="FI19" s="106"/>
      <c r="FJ19" s="106"/>
      <c r="FK19" s="106"/>
      <c r="HX19" s="105"/>
      <c r="HY19" s="105"/>
      <c r="HZ19" s="105"/>
      <c r="IA19" s="105"/>
      <c r="IB19" s="105"/>
      <c r="IC19" s="105"/>
    </row>
    <row r="20" spans="1:237" ht="24" customHeight="1" x14ac:dyDescent="0.35">
      <c r="C20" s="107"/>
      <c r="D20" s="107"/>
      <c r="E20" s="107"/>
      <c r="F20" s="107"/>
      <c r="G20" s="107"/>
      <c r="H20" s="107"/>
      <c r="I20" s="107"/>
      <c r="J20" s="107"/>
      <c r="AW20" s="105"/>
      <c r="AX20" s="105"/>
      <c r="AY20" s="105"/>
      <c r="AZ20" s="105"/>
      <c r="BA20" s="105"/>
      <c r="BB20" s="105"/>
      <c r="BC20" s="105"/>
      <c r="BD20" s="105"/>
      <c r="BE20" s="105"/>
      <c r="BF20" s="105"/>
      <c r="CM20" s="14"/>
      <c r="CN20" s="105"/>
      <c r="CO20" s="105"/>
      <c r="CP20" s="105"/>
      <c r="CQ20" s="105"/>
      <c r="CR20" s="105"/>
      <c r="CS20" s="105"/>
      <c r="CT20" s="105"/>
      <c r="CU20" s="105"/>
      <c r="FB20" s="14"/>
      <c r="FC20" s="106"/>
      <c r="FD20" s="106"/>
      <c r="FE20" s="106"/>
      <c r="FF20" s="106"/>
      <c r="FG20" s="106"/>
      <c r="FH20" s="106"/>
      <c r="FI20" s="106"/>
      <c r="FJ20" s="106"/>
      <c r="FK20" s="106"/>
      <c r="HX20" s="105"/>
      <c r="HY20" s="105"/>
      <c r="HZ20" s="105"/>
      <c r="IA20" s="105"/>
      <c r="IB20" s="105"/>
      <c r="IC20" s="105"/>
    </row>
    <row r="21" spans="1:237" x14ac:dyDescent="0.35">
      <c r="C21" s="15"/>
      <c r="D21" s="15"/>
      <c r="E21" s="15"/>
      <c r="F21" s="15"/>
      <c r="G21" s="15"/>
      <c r="AX21" s="14"/>
      <c r="AY21" s="14"/>
      <c r="AZ21" s="14"/>
      <c r="BA21" s="14"/>
      <c r="BB21" s="14"/>
      <c r="BC21" s="14"/>
      <c r="CL21" s="14"/>
      <c r="CM21" s="14"/>
      <c r="CN21" s="105"/>
      <c r="CO21" s="105"/>
      <c r="CP21" s="105"/>
      <c r="CQ21" s="105"/>
      <c r="CR21" s="105"/>
      <c r="CS21" s="105"/>
      <c r="CT21" s="105"/>
      <c r="CU21" s="105"/>
      <c r="FA21" s="14"/>
      <c r="FB21" s="14"/>
      <c r="FC21" s="14"/>
      <c r="FD21" s="14"/>
      <c r="FE21" s="14"/>
      <c r="FF21" s="14"/>
      <c r="HX21" s="14"/>
      <c r="HY21" s="14"/>
      <c r="HZ21" s="14"/>
      <c r="IA21" s="14"/>
      <c r="IB21" s="14"/>
      <c r="IC21" s="14"/>
    </row>
    <row r="22" spans="1:237" x14ac:dyDescent="0.35">
      <c r="AX22" s="14"/>
      <c r="AY22" s="14"/>
      <c r="AZ22" s="14"/>
      <c r="BA22" s="14"/>
      <c r="BB22" s="14"/>
      <c r="BC22" s="14"/>
      <c r="CL22" s="14"/>
      <c r="CM22" s="14"/>
      <c r="CN22" s="14"/>
      <c r="CO22" s="14"/>
      <c r="CP22" s="14"/>
      <c r="CQ22" s="14"/>
      <c r="FA22" s="14"/>
      <c r="FB22" s="14"/>
      <c r="FC22" s="14"/>
      <c r="FD22" s="14"/>
      <c r="FE22" s="14"/>
      <c r="FF22" s="14"/>
      <c r="HX22" s="14"/>
      <c r="HY22" s="14"/>
      <c r="HZ22" s="14"/>
      <c r="IA22" s="14"/>
      <c r="IB22" s="14"/>
      <c r="IC22" s="14"/>
    </row>
    <row r="23" spans="1:237" x14ac:dyDescent="0.35">
      <c r="FA23" s="14"/>
      <c r="FB23" s="14"/>
      <c r="FC23" s="14"/>
      <c r="FD23" s="14"/>
      <c r="FE23" s="14"/>
      <c r="FF23" s="14"/>
      <c r="HX23" s="14"/>
      <c r="HY23" s="14"/>
      <c r="HZ23" s="14"/>
      <c r="IA23" s="14"/>
      <c r="IB23" s="14"/>
      <c r="IC23" s="14"/>
    </row>
  </sheetData>
  <mergeCells count="16">
    <mergeCell ref="D1:M6"/>
    <mergeCell ref="CN18:CU21"/>
    <mergeCell ref="FC18:FK20"/>
    <mergeCell ref="HX18:IC20"/>
    <mergeCell ref="C18:J20"/>
    <mergeCell ref="AW18:BF20"/>
    <mergeCell ref="HT8:IC8"/>
    <mergeCell ref="HT9:HU9"/>
    <mergeCell ref="CH8:CQ8"/>
    <mergeCell ref="CH9:CI9"/>
    <mergeCell ref="EW8:FF8"/>
    <mergeCell ref="EW9:EX9"/>
    <mergeCell ref="AT8:BC8"/>
    <mergeCell ref="AT9:AU9"/>
    <mergeCell ref="A8:J8"/>
    <mergeCell ref="A9:B9"/>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ig_2">
                <anchor moveWithCells="1" sizeWithCells="1">
                  <from>
                    <xdr:col>56</xdr:col>
                    <xdr:colOff>266700</xdr:colOff>
                    <xdr:row>8</xdr:row>
                    <xdr:rowOff>485775</xdr:rowOff>
                  </from>
                  <to>
                    <xdr:col>59</xdr:col>
                    <xdr:colOff>219075</xdr:colOff>
                    <xdr:row>11</xdr:row>
                    <xdr:rowOff>238125</xdr:rowOff>
                  </to>
                </anchor>
              </controlPr>
            </control>
          </mc:Choice>
        </mc:AlternateContent>
        <mc:AlternateContent xmlns:mc="http://schemas.openxmlformats.org/markup-compatibility/2006">
          <mc:Choice Requires="x14">
            <control shapeId="1027" r:id="rId4" name="Button 3">
              <controlPr defaultSize="0" print="0" autoFill="0" autoPict="0" macro="[0]!sig_3">
                <anchor moveWithCells="1" sizeWithCells="1">
                  <from>
                    <xdr:col>96</xdr:col>
                    <xdr:colOff>371475</xdr:colOff>
                    <xdr:row>8</xdr:row>
                    <xdr:rowOff>600075</xdr:rowOff>
                  </from>
                  <to>
                    <xdr:col>99</xdr:col>
                    <xdr:colOff>333375</xdr:colOff>
                    <xdr:row>12</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sig_4">
                <anchor moveWithCells="1" sizeWithCells="1">
                  <from>
                    <xdr:col>163</xdr:col>
                    <xdr:colOff>104775</xdr:colOff>
                    <xdr:row>8</xdr:row>
                    <xdr:rowOff>238125</xdr:rowOff>
                  </from>
                  <to>
                    <xdr:col>166</xdr:col>
                    <xdr:colOff>161925</xdr:colOff>
                    <xdr:row>10</xdr:row>
                    <xdr:rowOff>200025</xdr:rowOff>
                  </to>
                </anchor>
              </controlPr>
            </control>
          </mc:Choice>
        </mc:AlternateContent>
        <mc:AlternateContent xmlns:mc="http://schemas.openxmlformats.org/markup-compatibility/2006">
          <mc:Choice Requires="x14">
            <control shapeId="1029" r:id="rId6" name="Button 5">
              <controlPr defaultSize="0" print="0" autoFill="0" autoPict="0" macro="[0]!sig_1" altText="SIGUIENTE_x000a_">
                <anchor moveWithCells="1" sizeWithCells="1">
                  <from>
                    <xdr:col>12</xdr:col>
                    <xdr:colOff>66675</xdr:colOff>
                    <xdr:row>10</xdr:row>
                    <xdr:rowOff>28575</xdr:rowOff>
                  </from>
                  <to>
                    <xdr:col>14</xdr:col>
                    <xdr:colOff>542925</xdr:colOff>
                    <xdr:row>13</xdr:row>
                    <xdr:rowOff>180975</xdr:rowOff>
                  </to>
                </anchor>
              </controlPr>
            </control>
          </mc:Choice>
        </mc:AlternateContent>
        <mc:AlternateContent xmlns:mc="http://schemas.openxmlformats.org/markup-compatibility/2006">
          <mc:Choice Requires="x14">
            <control shapeId="1030" r:id="rId7" name="Button 6">
              <controlPr defaultSize="0" print="0" autoFill="0" autoPict="0" macro="[0]!empezar">
                <anchor moveWithCells="1" sizeWithCells="1">
                  <from>
                    <xdr:col>238</xdr:col>
                    <xdr:colOff>152400</xdr:colOff>
                    <xdr:row>7</xdr:row>
                    <xdr:rowOff>123825</xdr:rowOff>
                  </from>
                  <to>
                    <xdr:col>241</xdr:col>
                    <xdr:colOff>0</xdr:colOff>
                    <xdr:row>9</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D84"/>
  <sheetViews>
    <sheetView zoomScale="62" zoomScaleNormal="62" zoomScalePageLayoutView="80" workbookViewId="0">
      <selection activeCell="AJ1" sqref="AJ1:AP1048576"/>
    </sheetView>
  </sheetViews>
  <sheetFormatPr defaultColWidth="10.875" defaultRowHeight="23.25" x14ac:dyDescent="0.35"/>
  <cols>
    <col min="1" max="1" width="15" style="1" customWidth="1"/>
    <col min="2" max="2" width="17.375" style="1" bestFit="1" customWidth="1"/>
    <col min="3" max="3" width="17.5" style="1" customWidth="1"/>
    <col min="4" max="4" width="23.625" style="1" customWidth="1"/>
    <col min="5" max="5" width="12.875" style="1" bestFit="1" customWidth="1"/>
    <col min="6" max="6" width="14.375" style="1" customWidth="1"/>
    <col min="7" max="7" width="12.875" style="1" customWidth="1"/>
    <col min="8" max="8" width="14" style="1" customWidth="1"/>
    <col min="9" max="9" width="17" style="1" customWidth="1"/>
    <col min="10" max="10" width="14.875" style="1" bestFit="1" customWidth="1"/>
    <col min="11" max="11" width="20" style="1" customWidth="1"/>
    <col min="12" max="17" width="10.125" style="1" customWidth="1"/>
    <col min="18" max="16384" width="10.875" style="1"/>
  </cols>
  <sheetData>
    <row r="1" spans="1:30" x14ac:dyDescent="0.35">
      <c r="E1" s="19" t="s">
        <v>20</v>
      </c>
      <c r="F1" s="136" t="str">
        <f>INICIO!F1</f>
        <v>CARLOS DAVID ACOSTA</v>
      </c>
      <c r="G1" s="137"/>
      <c r="AD1" s="1" t="s">
        <v>40</v>
      </c>
    </row>
    <row r="2" spans="1:30" x14ac:dyDescent="0.35">
      <c r="E2" s="20" t="s">
        <v>21</v>
      </c>
      <c r="F2" s="138">
        <f>INICIO!F2</f>
        <v>23</v>
      </c>
      <c r="G2" s="139"/>
      <c r="AD2" s="1" t="s">
        <v>41</v>
      </c>
    </row>
    <row r="3" spans="1:30" x14ac:dyDescent="0.35">
      <c r="E3" s="20" t="s">
        <v>22</v>
      </c>
      <c r="F3" s="138" t="str">
        <f>INICIO!F3</f>
        <v>MASCULINO</v>
      </c>
      <c r="G3" s="139"/>
    </row>
    <row r="4" spans="1:30" x14ac:dyDescent="0.35">
      <c r="E4" s="20" t="s">
        <v>23</v>
      </c>
      <c r="F4" s="138">
        <f>INICIO!F4</f>
        <v>177</v>
      </c>
      <c r="G4" s="139"/>
    </row>
    <row r="5" spans="1:30" x14ac:dyDescent="0.35">
      <c r="E5" s="20" t="s">
        <v>24</v>
      </c>
      <c r="F5" s="138">
        <f>INICIO!F5</f>
        <v>79</v>
      </c>
      <c r="G5" s="139"/>
    </row>
    <row r="6" spans="1:30" ht="24" thickBot="1" x14ac:dyDescent="0.4">
      <c r="E6" s="21" t="s">
        <v>25</v>
      </c>
      <c r="F6" s="134" t="str">
        <f>INICIO!F6</f>
        <v>AUMENTAR MASA</v>
      </c>
      <c r="G6" s="135"/>
    </row>
    <row r="7" spans="1:30" ht="24" thickBot="1" x14ac:dyDescent="0.4"/>
    <row r="8" spans="1:30" ht="24" thickBot="1" x14ac:dyDescent="0.4">
      <c r="A8" s="140" t="s">
        <v>8</v>
      </c>
      <c r="B8" s="141"/>
      <c r="C8" s="141"/>
      <c r="D8" s="141"/>
      <c r="E8" s="141"/>
      <c r="F8" s="141"/>
      <c r="G8" s="141"/>
      <c r="H8" s="141"/>
      <c r="I8" s="141"/>
      <c r="J8" s="141"/>
      <c r="K8" s="141"/>
      <c r="L8" s="141"/>
      <c r="M8" s="141"/>
      <c r="N8" s="141"/>
      <c r="O8" s="141"/>
      <c r="P8" s="141"/>
      <c r="Q8" s="148"/>
    </row>
    <row r="9" spans="1:30" ht="24.95" customHeight="1" thickBot="1" x14ac:dyDescent="0.4">
      <c r="A9" s="58"/>
      <c r="B9" s="59"/>
      <c r="C9" s="60" t="s">
        <v>12</v>
      </c>
      <c r="D9" s="61" t="s">
        <v>10</v>
      </c>
      <c r="E9" s="61" t="s">
        <v>28</v>
      </c>
      <c r="F9" s="61" t="s">
        <v>27</v>
      </c>
      <c r="G9" s="62" t="s">
        <v>14</v>
      </c>
      <c r="H9" s="123" t="s">
        <v>15</v>
      </c>
      <c r="I9" s="123" t="s">
        <v>16</v>
      </c>
      <c r="J9" s="123" t="s">
        <v>18</v>
      </c>
      <c r="K9" s="123" t="s">
        <v>39</v>
      </c>
      <c r="L9" s="128" t="s">
        <v>91</v>
      </c>
      <c r="M9" s="129"/>
      <c r="N9" s="129"/>
      <c r="O9" s="129"/>
      <c r="P9" s="129"/>
      <c r="Q9" s="130"/>
    </row>
    <row r="10" spans="1:30" ht="24" thickBot="1" x14ac:dyDescent="0.4">
      <c r="A10" s="146" t="s">
        <v>19</v>
      </c>
      <c r="B10" s="147"/>
      <c r="C10" s="63">
        <f>INICIO!J2</f>
        <v>2300</v>
      </c>
      <c r="D10" s="64">
        <f>C10*0.45/4</f>
        <v>258.75</v>
      </c>
      <c r="E10" s="64">
        <f>C10*0.25/9</f>
        <v>63.888888888888886</v>
      </c>
      <c r="F10" s="64">
        <f>C10/4*0.3</f>
        <v>172.5</v>
      </c>
      <c r="G10" s="65">
        <f>F5</f>
        <v>79</v>
      </c>
      <c r="H10" s="124"/>
      <c r="I10" s="124"/>
      <c r="J10" s="124"/>
      <c r="K10" s="124"/>
      <c r="L10" s="131"/>
      <c r="M10" s="132"/>
      <c r="N10" s="132"/>
      <c r="O10" s="132"/>
      <c r="P10" s="132"/>
      <c r="Q10" s="133"/>
    </row>
    <row r="11" spans="1:30" x14ac:dyDescent="0.35">
      <c r="A11" s="36" t="s">
        <v>0</v>
      </c>
      <c r="B11" s="12">
        <v>44585</v>
      </c>
      <c r="C11" s="32">
        <v>2300</v>
      </c>
      <c r="D11" s="32">
        <v>259</v>
      </c>
      <c r="E11" s="32">
        <v>64</v>
      </c>
      <c r="F11" s="32">
        <v>173</v>
      </c>
      <c r="G11" s="32"/>
      <c r="H11" s="32"/>
      <c r="I11" s="32"/>
      <c r="J11" s="32"/>
      <c r="K11" s="42"/>
      <c r="L11" s="149"/>
      <c r="M11" s="149"/>
      <c r="N11" s="149"/>
      <c r="O11" s="149"/>
      <c r="P11" s="149"/>
      <c r="Q11" s="150"/>
    </row>
    <row r="12" spans="1:30" x14ac:dyDescent="0.35">
      <c r="A12" s="37" t="s">
        <v>1</v>
      </c>
      <c r="B12" s="6">
        <f>B11+1</f>
        <v>44586</v>
      </c>
      <c r="C12" s="32">
        <v>2300</v>
      </c>
      <c r="D12" s="32">
        <v>259</v>
      </c>
      <c r="E12" s="32">
        <v>64</v>
      </c>
      <c r="F12" s="32">
        <v>173</v>
      </c>
      <c r="G12" s="2"/>
      <c r="H12" s="2"/>
      <c r="I12" s="2"/>
      <c r="J12" s="2"/>
      <c r="K12" s="41"/>
      <c r="L12" s="113"/>
      <c r="M12" s="113"/>
      <c r="N12" s="113"/>
      <c r="O12" s="113"/>
      <c r="P12" s="113"/>
      <c r="Q12" s="114"/>
    </row>
    <row r="13" spans="1:30" x14ac:dyDescent="0.35">
      <c r="A13" s="37" t="s">
        <v>2</v>
      </c>
      <c r="B13" s="6">
        <f t="shared" ref="B13:B17" si="0">B12+1</f>
        <v>44587</v>
      </c>
      <c r="C13" s="32">
        <v>2300</v>
      </c>
      <c r="D13" s="32">
        <v>259</v>
      </c>
      <c r="E13" s="32">
        <v>64</v>
      </c>
      <c r="F13" s="32">
        <v>173</v>
      </c>
      <c r="G13" s="2"/>
      <c r="H13" s="2"/>
      <c r="I13" s="2"/>
      <c r="J13" s="2"/>
      <c r="K13" s="41"/>
      <c r="L13" s="113"/>
      <c r="M13" s="113"/>
      <c r="N13" s="113"/>
      <c r="O13" s="113"/>
      <c r="P13" s="113"/>
      <c r="Q13" s="114"/>
    </row>
    <row r="14" spans="1:30" x14ac:dyDescent="0.35">
      <c r="A14" s="37" t="s">
        <v>3</v>
      </c>
      <c r="B14" s="6">
        <f t="shared" si="0"/>
        <v>44588</v>
      </c>
      <c r="C14" s="32">
        <v>2300</v>
      </c>
      <c r="D14" s="32">
        <v>259</v>
      </c>
      <c r="E14" s="32">
        <v>64</v>
      </c>
      <c r="F14" s="32">
        <v>173</v>
      </c>
      <c r="G14" s="2"/>
      <c r="H14" s="2"/>
      <c r="I14" s="2"/>
      <c r="J14" s="2"/>
      <c r="K14" s="41"/>
      <c r="L14" s="113"/>
      <c r="M14" s="113"/>
      <c r="N14" s="113"/>
      <c r="O14" s="113"/>
      <c r="P14" s="113"/>
      <c r="Q14" s="114"/>
    </row>
    <row r="15" spans="1:30" x14ac:dyDescent="0.35">
      <c r="A15" s="37" t="s">
        <v>4</v>
      </c>
      <c r="B15" s="6">
        <f t="shared" si="0"/>
        <v>44589</v>
      </c>
      <c r="C15" s="32">
        <v>2300</v>
      </c>
      <c r="D15" s="32">
        <v>259</v>
      </c>
      <c r="E15" s="32">
        <v>64</v>
      </c>
      <c r="F15" s="32">
        <v>173</v>
      </c>
      <c r="G15" s="2"/>
      <c r="H15" s="2"/>
      <c r="I15" s="2"/>
      <c r="J15" s="2"/>
      <c r="K15" s="41"/>
      <c r="L15" s="113"/>
      <c r="M15" s="113"/>
      <c r="N15" s="113"/>
      <c r="O15" s="113"/>
      <c r="P15" s="113"/>
      <c r="Q15" s="114"/>
    </row>
    <row r="16" spans="1:30" x14ac:dyDescent="0.35">
      <c r="A16" s="37" t="s">
        <v>5</v>
      </c>
      <c r="B16" s="6">
        <f t="shared" si="0"/>
        <v>44590</v>
      </c>
      <c r="C16" s="32">
        <v>2300</v>
      </c>
      <c r="D16" s="32">
        <v>259</v>
      </c>
      <c r="E16" s="32">
        <v>64</v>
      </c>
      <c r="F16" s="32">
        <v>173</v>
      </c>
      <c r="G16" s="2"/>
      <c r="H16" s="2"/>
      <c r="I16" s="2"/>
      <c r="J16" s="2"/>
      <c r="K16" s="41"/>
      <c r="L16" s="113"/>
      <c r="M16" s="113"/>
      <c r="N16" s="113"/>
      <c r="O16" s="113"/>
      <c r="P16" s="113"/>
      <c r="Q16" s="114"/>
    </row>
    <row r="17" spans="1:17" x14ac:dyDescent="0.35">
      <c r="A17" s="37" t="s">
        <v>6</v>
      </c>
      <c r="B17" s="6">
        <f t="shared" si="0"/>
        <v>44591</v>
      </c>
      <c r="C17" s="32">
        <v>2300</v>
      </c>
      <c r="D17" s="32">
        <v>259</v>
      </c>
      <c r="E17" s="32">
        <v>64</v>
      </c>
      <c r="F17" s="32">
        <v>173</v>
      </c>
      <c r="G17" s="2"/>
      <c r="H17" s="2"/>
      <c r="I17" s="2"/>
      <c r="J17" s="2"/>
      <c r="K17" s="41"/>
      <c r="L17" s="113"/>
      <c r="M17" s="113"/>
      <c r="N17" s="113"/>
      <c r="O17" s="113"/>
      <c r="P17" s="113"/>
      <c r="Q17" s="114"/>
    </row>
    <row r="18" spans="1:17" ht="24" thickBot="1" x14ac:dyDescent="0.4">
      <c r="A18" s="7" t="s">
        <v>13</v>
      </c>
      <c r="B18" s="7"/>
      <c r="C18" s="53">
        <f t="shared" ref="C18:J18" si="1">IFERROR(AVERAGE(C12:C17),"")</f>
        <v>2300</v>
      </c>
      <c r="D18" s="53">
        <f t="shared" si="1"/>
        <v>259</v>
      </c>
      <c r="E18" s="53">
        <f t="shared" si="1"/>
        <v>64</v>
      </c>
      <c r="F18" s="53">
        <f t="shared" si="1"/>
        <v>173</v>
      </c>
      <c r="G18" s="53" t="str">
        <f t="shared" si="1"/>
        <v/>
      </c>
      <c r="H18" s="53" t="str">
        <f t="shared" si="1"/>
        <v/>
      </c>
      <c r="I18" s="53" t="str">
        <f t="shared" si="1"/>
        <v/>
      </c>
      <c r="J18" s="53" t="str">
        <f t="shared" si="1"/>
        <v/>
      </c>
      <c r="K18" s="33"/>
      <c r="L18" s="33"/>
      <c r="M18" s="33"/>
      <c r="N18" s="33"/>
      <c r="O18" s="33"/>
      <c r="P18" s="33"/>
      <c r="Q18" s="33"/>
    </row>
    <row r="19" spans="1:17" ht="20.100000000000001" customHeight="1" thickBot="1" x14ac:dyDescent="0.4"/>
    <row r="20" spans="1:17" ht="24" thickBot="1" x14ac:dyDescent="0.4">
      <c r="A20" s="140" t="s">
        <v>50</v>
      </c>
      <c r="B20" s="141"/>
      <c r="C20" s="141"/>
      <c r="D20" s="141"/>
      <c r="E20" s="141"/>
      <c r="F20" s="141"/>
      <c r="G20" s="141"/>
      <c r="H20" s="141"/>
      <c r="I20" s="141"/>
      <c r="J20" s="141"/>
      <c r="K20" s="141"/>
      <c r="L20" s="141"/>
      <c r="M20" s="141"/>
      <c r="N20" s="141"/>
      <c r="O20" s="141"/>
      <c r="P20" s="141"/>
      <c r="Q20" s="142"/>
    </row>
    <row r="21" spans="1:17" ht="24.95" customHeight="1" thickBot="1" x14ac:dyDescent="0.4">
      <c r="A21" s="58"/>
      <c r="B21" s="59"/>
      <c r="C21" s="60" t="s">
        <v>12</v>
      </c>
      <c r="D21" s="61" t="s">
        <v>10</v>
      </c>
      <c r="E21" s="61" t="s">
        <v>28</v>
      </c>
      <c r="F21" s="61" t="s">
        <v>27</v>
      </c>
      <c r="G21" s="62" t="s">
        <v>14</v>
      </c>
      <c r="H21" s="123" t="s">
        <v>15</v>
      </c>
      <c r="I21" s="123" t="s">
        <v>16</v>
      </c>
      <c r="J21" s="123" t="s">
        <v>18</v>
      </c>
      <c r="K21" s="123" t="s">
        <v>39</v>
      </c>
      <c r="L21" s="128" t="s">
        <v>91</v>
      </c>
      <c r="M21" s="129"/>
      <c r="N21" s="129"/>
      <c r="O21" s="129"/>
      <c r="P21" s="129"/>
      <c r="Q21" s="130"/>
    </row>
    <row r="22" spans="1:17" ht="24" thickBot="1" x14ac:dyDescent="0.4">
      <c r="A22" s="146" t="s">
        <v>19</v>
      </c>
      <c r="B22" s="147"/>
      <c r="C22" s="63">
        <f>C10</f>
        <v>2300</v>
      </c>
      <c r="D22" s="64">
        <f>C22*0.45/4</f>
        <v>258.75</v>
      </c>
      <c r="E22" s="64">
        <f>C22*0.25/9</f>
        <v>63.888888888888886</v>
      </c>
      <c r="F22" s="64">
        <f>C22/4*0.3</f>
        <v>172.5</v>
      </c>
      <c r="G22" s="65" t="str">
        <f>G18</f>
        <v/>
      </c>
      <c r="H22" s="124"/>
      <c r="I22" s="124"/>
      <c r="J22" s="124"/>
      <c r="K22" s="124"/>
      <c r="L22" s="131"/>
      <c r="M22" s="132"/>
      <c r="N22" s="132"/>
      <c r="O22" s="132"/>
      <c r="P22" s="132"/>
      <c r="Q22" s="133"/>
    </row>
    <row r="23" spans="1:17" x14ac:dyDescent="0.35">
      <c r="A23" s="36" t="s">
        <v>0</v>
      </c>
      <c r="B23" s="12">
        <f>B17+1</f>
        <v>44592</v>
      </c>
      <c r="C23" s="32">
        <v>2300</v>
      </c>
      <c r="D23" s="32">
        <v>259</v>
      </c>
      <c r="E23" s="32">
        <v>64</v>
      </c>
      <c r="F23" s="32">
        <v>173</v>
      </c>
      <c r="G23" s="32"/>
      <c r="H23" s="32"/>
      <c r="I23" s="32"/>
      <c r="J23" s="32"/>
      <c r="K23" s="42"/>
      <c r="L23" s="143"/>
      <c r="M23" s="144"/>
      <c r="N23" s="144"/>
      <c r="O23" s="144"/>
      <c r="P23" s="144"/>
      <c r="Q23" s="145"/>
    </row>
    <row r="24" spans="1:17" x14ac:dyDescent="0.35">
      <c r="A24" s="37" t="s">
        <v>1</v>
      </c>
      <c r="B24" s="6">
        <f>B23+1</f>
        <v>44593</v>
      </c>
      <c r="C24" s="32">
        <v>2300</v>
      </c>
      <c r="D24" s="32">
        <v>259</v>
      </c>
      <c r="E24" s="32">
        <v>64</v>
      </c>
      <c r="F24" s="32">
        <v>173</v>
      </c>
      <c r="G24" s="2"/>
      <c r="H24" s="2"/>
      <c r="I24" s="2"/>
      <c r="J24" s="2"/>
      <c r="K24" s="41"/>
      <c r="L24" s="113"/>
      <c r="M24" s="113"/>
      <c r="N24" s="113"/>
      <c r="O24" s="113"/>
      <c r="P24" s="113"/>
      <c r="Q24" s="114"/>
    </row>
    <row r="25" spans="1:17" x14ac:dyDescent="0.35">
      <c r="A25" s="37" t="s">
        <v>2</v>
      </c>
      <c r="B25" s="6">
        <f t="shared" ref="B25:B29" si="2">B24+1</f>
        <v>44594</v>
      </c>
      <c r="C25" s="32">
        <v>2300</v>
      </c>
      <c r="D25" s="32">
        <v>259</v>
      </c>
      <c r="E25" s="32">
        <v>64</v>
      </c>
      <c r="F25" s="32">
        <v>173</v>
      </c>
      <c r="G25" s="2"/>
      <c r="H25" s="2"/>
      <c r="I25" s="2"/>
      <c r="J25" s="2"/>
      <c r="K25" s="41"/>
      <c r="L25" s="113"/>
      <c r="M25" s="113"/>
      <c r="N25" s="113"/>
      <c r="O25" s="113"/>
      <c r="P25" s="113"/>
      <c r="Q25" s="114"/>
    </row>
    <row r="26" spans="1:17" x14ac:dyDescent="0.35">
      <c r="A26" s="37" t="s">
        <v>3</v>
      </c>
      <c r="B26" s="6">
        <f t="shared" si="2"/>
        <v>44595</v>
      </c>
      <c r="C26" s="32">
        <v>2300</v>
      </c>
      <c r="D26" s="32">
        <v>259</v>
      </c>
      <c r="E26" s="32">
        <v>64</v>
      </c>
      <c r="F26" s="32">
        <v>173</v>
      </c>
      <c r="G26" s="2"/>
      <c r="H26" s="2"/>
      <c r="I26" s="2"/>
      <c r="J26" s="2"/>
      <c r="K26" s="41"/>
      <c r="L26" s="113"/>
      <c r="M26" s="113"/>
      <c r="N26" s="113"/>
      <c r="O26" s="113"/>
      <c r="P26" s="113"/>
      <c r="Q26" s="114"/>
    </row>
    <row r="27" spans="1:17" x14ac:dyDescent="0.35">
      <c r="A27" s="37" t="s">
        <v>4</v>
      </c>
      <c r="B27" s="6">
        <f t="shared" si="2"/>
        <v>44596</v>
      </c>
      <c r="C27" s="32">
        <v>2300</v>
      </c>
      <c r="D27" s="32">
        <v>259</v>
      </c>
      <c r="E27" s="32">
        <v>64</v>
      </c>
      <c r="F27" s="32">
        <v>173</v>
      </c>
      <c r="G27" s="2"/>
      <c r="H27" s="2"/>
      <c r="I27" s="2"/>
      <c r="J27" s="2"/>
      <c r="K27" s="41"/>
      <c r="L27" s="113"/>
      <c r="M27" s="113"/>
      <c r="N27" s="113"/>
      <c r="O27" s="113"/>
      <c r="P27" s="113"/>
      <c r="Q27" s="114"/>
    </row>
    <row r="28" spans="1:17" x14ac:dyDescent="0.35">
      <c r="A28" s="37" t="s">
        <v>5</v>
      </c>
      <c r="B28" s="6">
        <f t="shared" si="2"/>
        <v>44597</v>
      </c>
      <c r="C28" s="32">
        <v>2300</v>
      </c>
      <c r="D28" s="32">
        <v>259</v>
      </c>
      <c r="E28" s="32">
        <v>64</v>
      </c>
      <c r="F28" s="32">
        <v>173</v>
      </c>
      <c r="G28" s="2"/>
      <c r="H28" s="2"/>
      <c r="I28" s="2"/>
      <c r="J28" s="2"/>
      <c r="K28" s="41"/>
      <c r="L28" s="113"/>
      <c r="M28" s="113"/>
      <c r="N28" s="113"/>
      <c r="O28" s="113"/>
      <c r="P28" s="113"/>
      <c r="Q28" s="114"/>
    </row>
    <row r="29" spans="1:17" ht="24" thickBot="1" x14ac:dyDescent="0.4">
      <c r="A29" s="37" t="s">
        <v>6</v>
      </c>
      <c r="B29" s="39">
        <f t="shared" si="2"/>
        <v>44598</v>
      </c>
      <c r="C29" s="32">
        <v>2300</v>
      </c>
      <c r="D29" s="32">
        <v>259</v>
      </c>
      <c r="E29" s="32">
        <v>64</v>
      </c>
      <c r="F29" s="32">
        <v>173</v>
      </c>
      <c r="G29" s="40"/>
      <c r="H29" s="40"/>
      <c r="I29" s="40"/>
      <c r="J29" s="40"/>
      <c r="K29" s="43"/>
      <c r="L29" s="115"/>
      <c r="M29" s="115"/>
      <c r="N29" s="115"/>
      <c r="O29" s="115"/>
      <c r="P29" s="115"/>
      <c r="Q29" s="116"/>
    </row>
    <row r="30" spans="1:17" ht="24" thickBot="1" x14ac:dyDescent="0.4">
      <c r="A30" s="7" t="s">
        <v>13</v>
      </c>
      <c r="B30" s="7"/>
      <c r="C30" s="53">
        <f>IFERROR(AVERAGE(C23:C29),"")</f>
        <v>2300</v>
      </c>
      <c r="D30" s="53">
        <f t="shared" ref="D30:J30" si="3">IFERROR(AVERAGE(D23:D29),"")</f>
        <v>259</v>
      </c>
      <c r="E30" s="53">
        <f t="shared" si="3"/>
        <v>64</v>
      </c>
      <c r="F30" s="53">
        <f t="shared" si="3"/>
        <v>173</v>
      </c>
      <c r="G30" s="53" t="str">
        <f t="shared" si="3"/>
        <v/>
      </c>
      <c r="H30" s="53" t="str">
        <f t="shared" si="3"/>
        <v/>
      </c>
      <c r="I30" s="53" t="str">
        <f t="shared" si="3"/>
        <v/>
      </c>
      <c r="J30" s="53" t="str">
        <f t="shared" si="3"/>
        <v/>
      </c>
      <c r="K30" s="33"/>
      <c r="L30" s="33"/>
      <c r="M30" s="33"/>
      <c r="N30" s="33"/>
      <c r="O30" s="33"/>
      <c r="P30" s="33"/>
      <c r="Q30" s="33"/>
    </row>
    <row r="31" spans="1:17" ht="24.95" customHeight="1" thickBot="1" x14ac:dyDescent="0.4"/>
    <row r="32" spans="1:17" ht="24.95" customHeight="1" thickBot="1" x14ac:dyDescent="0.4">
      <c r="A32" s="125" t="s">
        <v>17</v>
      </c>
      <c r="B32" s="126"/>
      <c r="C32" s="126"/>
      <c r="D32" s="126"/>
      <c r="E32" s="126"/>
      <c r="F32" s="126"/>
      <c r="G32" s="126"/>
      <c r="H32" s="126"/>
      <c r="I32" s="126"/>
      <c r="J32" s="126"/>
      <c r="K32" s="126"/>
      <c r="L32" s="126"/>
      <c r="M32" s="126"/>
      <c r="N32" s="126"/>
      <c r="O32" s="126"/>
      <c r="P32" s="126"/>
      <c r="Q32" s="127"/>
    </row>
    <row r="33" spans="1:17" ht="24.95" customHeight="1" thickBot="1" x14ac:dyDescent="0.4">
      <c r="A33" s="34"/>
      <c r="B33" s="35"/>
      <c r="C33" s="13" t="s">
        <v>12</v>
      </c>
      <c r="D33" s="3" t="s">
        <v>10</v>
      </c>
      <c r="E33" s="3" t="s">
        <v>28</v>
      </c>
      <c r="F33" s="3" t="str">
        <f>F21</f>
        <v>PROTEÍNA</v>
      </c>
      <c r="G33" s="31" t="s">
        <v>14</v>
      </c>
      <c r="H33" s="119" t="s">
        <v>15</v>
      </c>
      <c r="I33" s="119" t="s">
        <v>16</v>
      </c>
      <c r="J33" s="119" t="s">
        <v>18</v>
      </c>
      <c r="K33" s="119" t="s">
        <v>39</v>
      </c>
      <c r="L33" s="128" t="s">
        <v>91</v>
      </c>
      <c r="M33" s="129"/>
      <c r="N33" s="129"/>
      <c r="O33" s="129"/>
      <c r="P33" s="129"/>
      <c r="Q33" s="130"/>
    </row>
    <row r="34" spans="1:17" ht="24.95" customHeight="1" thickBot="1" x14ac:dyDescent="0.4">
      <c r="A34" s="117" t="s">
        <v>19</v>
      </c>
      <c r="B34" s="118"/>
      <c r="C34" s="45">
        <f>C22</f>
        <v>2300</v>
      </c>
      <c r="D34" s="64">
        <f>C34*0.45/4</f>
        <v>258.75</v>
      </c>
      <c r="E34" s="64">
        <f>C34*0.25/9</f>
        <v>63.888888888888886</v>
      </c>
      <c r="F34" s="64">
        <f>C34/4*0.3</f>
        <v>172.5</v>
      </c>
      <c r="G34" s="48" t="str">
        <f>G30</f>
        <v/>
      </c>
      <c r="H34" s="120"/>
      <c r="I34" s="120"/>
      <c r="J34" s="120"/>
      <c r="K34" s="120"/>
      <c r="L34" s="131"/>
      <c r="M34" s="132"/>
      <c r="N34" s="132"/>
      <c r="O34" s="132"/>
      <c r="P34" s="132"/>
      <c r="Q34" s="133"/>
    </row>
    <row r="35" spans="1:17" x14ac:dyDescent="0.35">
      <c r="A35" s="36" t="s">
        <v>0</v>
      </c>
      <c r="B35" s="12">
        <f>$B$29+1</f>
        <v>44599</v>
      </c>
      <c r="C35" s="32"/>
      <c r="D35" s="32"/>
      <c r="E35" s="32"/>
      <c r="F35" s="32"/>
      <c r="G35" s="32"/>
      <c r="H35" s="32"/>
      <c r="I35" s="32"/>
      <c r="J35" s="32"/>
      <c r="K35" s="42"/>
      <c r="L35" s="149"/>
      <c r="M35" s="149"/>
      <c r="N35" s="149"/>
      <c r="O35" s="149"/>
      <c r="P35" s="149"/>
      <c r="Q35" s="150"/>
    </row>
    <row r="36" spans="1:17" ht="24" customHeight="1" x14ac:dyDescent="0.35">
      <c r="A36" s="37" t="s">
        <v>1</v>
      </c>
      <c r="B36" s="6">
        <f>B35+1</f>
        <v>44600</v>
      </c>
      <c r="C36" s="2"/>
      <c r="D36" s="52"/>
      <c r="E36" s="52"/>
      <c r="F36" s="52"/>
      <c r="G36" s="2"/>
      <c r="H36" s="2"/>
      <c r="I36" s="2"/>
      <c r="J36" s="2"/>
      <c r="K36" s="41"/>
      <c r="L36" s="113"/>
      <c r="M36" s="113"/>
      <c r="N36" s="113"/>
      <c r="O36" s="113"/>
      <c r="P36" s="113"/>
      <c r="Q36" s="114"/>
    </row>
    <row r="37" spans="1:17" ht="24" customHeight="1" x14ac:dyDescent="0.35">
      <c r="A37" s="37" t="s">
        <v>2</v>
      </c>
      <c r="B37" s="6">
        <f t="shared" ref="B37:B41" si="4">B36+1</f>
        <v>44601</v>
      </c>
      <c r="C37" s="2"/>
      <c r="D37" s="2"/>
      <c r="E37" s="2"/>
      <c r="F37" s="2"/>
      <c r="G37" s="2"/>
      <c r="H37" s="2"/>
      <c r="I37" s="2"/>
      <c r="J37" s="2"/>
      <c r="K37" s="41"/>
      <c r="L37" s="113"/>
      <c r="M37" s="113"/>
      <c r="N37" s="113"/>
      <c r="O37" s="113"/>
      <c r="P37" s="113"/>
      <c r="Q37" s="114"/>
    </row>
    <row r="38" spans="1:17" ht="24" customHeight="1" x14ac:dyDescent="0.35">
      <c r="A38" s="37" t="s">
        <v>3</v>
      </c>
      <c r="B38" s="6">
        <f t="shared" si="4"/>
        <v>44602</v>
      </c>
      <c r="C38" s="2"/>
      <c r="D38" s="2"/>
      <c r="E38" s="2"/>
      <c r="F38" s="2"/>
      <c r="G38" s="2"/>
      <c r="H38" s="2"/>
      <c r="I38" s="2"/>
      <c r="J38" s="2"/>
      <c r="K38" s="41"/>
      <c r="L38" s="113"/>
      <c r="M38" s="113"/>
      <c r="N38" s="113"/>
      <c r="O38" s="113"/>
      <c r="P38" s="113"/>
      <c r="Q38" s="114"/>
    </row>
    <row r="39" spans="1:17" ht="24" customHeight="1" x14ac:dyDescent="0.35">
      <c r="A39" s="37" t="s">
        <v>4</v>
      </c>
      <c r="B39" s="6">
        <f t="shared" si="4"/>
        <v>44603</v>
      </c>
      <c r="C39" s="2"/>
      <c r="D39" s="2"/>
      <c r="E39" s="2"/>
      <c r="F39" s="2"/>
      <c r="G39" s="2"/>
      <c r="H39" s="2"/>
      <c r="I39" s="2"/>
      <c r="J39" s="2"/>
      <c r="K39" s="41"/>
      <c r="L39" s="113"/>
      <c r="M39" s="113"/>
      <c r="N39" s="113"/>
      <c r="O39" s="113"/>
      <c r="P39" s="113"/>
      <c r="Q39" s="114"/>
    </row>
    <row r="40" spans="1:17" ht="24" customHeight="1" x14ac:dyDescent="0.35">
      <c r="A40" s="37" t="s">
        <v>5</v>
      </c>
      <c r="B40" s="6">
        <f t="shared" si="4"/>
        <v>44604</v>
      </c>
      <c r="C40" s="2"/>
      <c r="D40" s="2"/>
      <c r="E40" s="2"/>
      <c r="F40" s="2"/>
      <c r="G40" s="2"/>
      <c r="H40" s="2"/>
      <c r="I40" s="2"/>
      <c r="J40" s="2"/>
      <c r="K40" s="41"/>
      <c r="L40" s="113"/>
      <c r="M40" s="113"/>
      <c r="N40" s="113"/>
      <c r="O40" s="113"/>
      <c r="P40" s="113"/>
      <c r="Q40" s="114"/>
    </row>
    <row r="41" spans="1:17" ht="24.95" customHeight="1" thickBot="1" x14ac:dyDescent="0.4">
      <c r="A41" s="37" t="s">
        <v>6</v>
      </c>
      <c r="B41" s="39">
        <f t="shared" si="4"/>
        <v>44605</v>
      </c>
      <c r="C41" s="40"/>
      <c r="D41" s="40"/>
      <c r="E41" s="40"/>
      <c r="F41" s="40"/>
      <c r="G41" s="40"/>
      <c r="H41" s="40"/>
      <c r="I41" s="40"/>
      <c r="J41" s="40"/>
      <c r="K41" s="43"/>
      <c r="L41" s="115"/>
      <c r="M41" s="115"/>
      <c r="N41" s="115"/>
      <c r="O41" s="115"/>
      <c r="P41" s="115"/>
      <c r="Q41" s="116"/>
    </row>
    <row r="42" spans="1:17" ht="24.95" customHeight="1" thickBot="1" x14ac:dyDescent="0.4">
      <c r="A42" s="7" t="s">
        <v>13</v>
      </c>
      <c r="B42" s="7"/>
      <c r="C42" s="53" t="str">
        <f>IFERROR(C35:C41,"")</f>
        <v/>
      </c>
      <c r="D42" s="53" t="str">
        <f t="shared" ref="D42" si="5">IFERROR(D35:D41,"")</f>
        <v/>
      </c>
      <c r="E42" s="53" t="str">
        <f t="shared" ref="E42" si="6">IFERROR(E35:E41,"")</f>
        <v/>
      </c>
      <c r="F42" s="53" t="str">
        <f t="shared" ref="F42" si="7">IFERROR(F35:F41,"")</f>
        <v/>
      </c>
      <c r="G42" s="53" t="str">
        <f t="shared" ref="G42" si="8">IFERROR(G35:G41,"")</f>
        <v/>
      </c>
      <c r="H42" s="53" t="str">
        <f t="shared" ref="H42" si="9">IFERROR(H35:H41,"")</f>
        <v/>
      </c>
      <c r="I42" s="53" t="str">
        <f t="shared" ref="I42" si="10">IFERROR(I35:I41,"")</f>
        <v/>
      </c>
      <c r="J42" s="53" t="str">
        <f t="shared" ref="J42" si="11">IFERROR(J35:J41,"")</f>
        <v/>
      </c>
      <c r="K42" s="33"/>
      <c r="L42" s="33"/>
      <c r="M42" s="33"/>
      <c r="N42" s="33"/>
      <c r="O42" s="33"/>
      <c r="P42" s="33"/>
      <c r="Q42" s="33"/>
    </row>
    <row r="43" spans="1:17" ht="24" thickBot="1" x14ac:dyDescent="0.4"/>
    <row r="44" spans="1:17" ht="24" customHeight="1" thickBot="1" x14ac:dyDescent="0.4">
      <c r="A44" s="125" t="s">
        <v>42</v>
      </c>
      <c r="B44" s="126"/>
      <c r="C44" s="126"/>
      <c r="D44" s="126"/>
      <c r="E44" s="126"/>
      <c r="F44" s="126"/>
      <c r="G44" s="126"/>
      <c r="H44" s="126"/>
      <c r="I44" s="126"/>
      <c r="J44" s="126"/>
      <c r="K44" s="126"/>
      <c r="L44" s="126"/>
      <c r="M44" s="126"/>
      <c r="N44" s="126"/>
      <c r="O44" s="126"/>
      <c r="P44" s="126"/>
      <c r="Q44" s="127"/>
    </row>
    <row r="45" spans="1:17" ht="24.95" customHeight="1" thickBot="1" x14ac:dyDescent="0.4">
      <c r="A45" s="34"/>
      <c r="B45" s="35"/>
      <c r="C45" s="13" t="s">
        <v>12</v>
      </c>
      <c r="D45" s="3" t="s">
        <v>10</v>
      </c>
      <c r="E45" s="3" t="s">
        <v>28</v>
      </c>
      <c r="F45" s="3" t="str">
        <f>F33</f>
        <v>PROTEÍNA</v>
      </c>
      <c r="G45" s="31" t="s">
        <v>14</v>
      </c>
      <c r="H45" s="119" t="s">
        <v>15</v>
      </c>
      <c r="I45" s="119" t="s">
        <v>16</v>
      </c>
      <c r="J45" s="119" t="s">
        <v>18</v>
      </c>
      <c r="K45" s="119" t="s">
        <v>39</v>
      </c>
      <c r="L45" s="128" t="s">
        <v>91</v>
      </c>
      <c r="M45" s="129"/>
      <c r="N45" s="129"/>
      <c r="O45" s="129"/>
      <c r="P45" s="129"/>
      <c r="Q45" s="130"/>
    </row>
    <row r="46" spans="1:17" ht="24" thickBot="1" x14ac:dyDescent="0.4">
      <c r="A46" s="117" t="s">
        <v>19</v>
      </c>
      <c r="B46" s="118"/>
      <c r="C46" s="45">
        <f>C34</f>
        <v>2300</v>
      </c>
      <c r="D46" s="64">
        <f>C46*0.45/4</f>
        <v>258.75</v>
      </c>
      <c r="E46" s="64">
        <f>C46*0.25/9</f>
        <v>63.888888888888886</v>
      </c>
      <c r="F46" s="64">
        <f>C46/4*0.3</f>
        <v>172.5</v>
      </c>
      <c r="G46" s="48" t="str">
        <f>G42</f>
        <v/>
      </c>
      <c r="H46" s="120"/>
      <c r="I46" s="120"/>
      <c r="J46" s="120"/>
      <c r="K46" s="120"/>
      <c r="L46" s="131"/>
      <c r="M46" s="132"/>
      <c r="N46" s="132"/>
      <c r="O46" s="132"/>
      <c r="P46" s="132"/>
      <c r="Q46" s="133"/>
    </row>
    <row r="47" spans="1:17" x14ac:dyDescent="0.35">
      <c r="A47" s="36" t="s">
        <v>0</v>
      </c>
      <c r="B47" s="12">
        <f>B41+1</f>
        <v>44606</v>
      </c>
      <c r="C47" s="32"/>
      <c r="D47" s="32"/>
      <c r="E47" s="32"/>
      <c r="F47" s="32"/>
      <c r="G47" s="32"/>
      <c r="H47" s="32"/>
      <c r="I47" s="32"/>
      <c r="J47" s="32"/>
      <c r="K47" s="42"/>
      <c r="L47" s="149"/>
      <c r="M47" s="149"/>
      <c r="N47" s="149"/>
      <c r="O47" s="149"/>
      <c r="P47" s="149"/>
      <c r="Q47" s="150"/>
    </row>
    <row r="48" spans="1:17" x14ac:dyDescent="0.35">
      <c r="A48" s="37" t="s">
        <v>1</v>
      </c>
      <c r="B48" s="6">
        <f>B47+1</f>
        <v>44607</v>
      </c>
      <c r="C48" s="2"/>
      <c r="D48" s="52"/>
      <c r="E48" s="52"/>
      <c r="F48" s="52"/>
      <c r="G48" s="2"/>
      <c r="H48" s="2"/>
      <c r="I48" s="2"/>
      <c r="J48" s="2"/>
      <c r="K48" s="41"/>
      <c r="L48" s="113"/>
      <c r="M48" s="113"/>
      <c r="N48" s="113"/>
      <c r="O48" s="113"/>
      <c r="P48" s="113"/>
      <c r="Q48" s="114"/>
    </row>
    <row r="49" spans="1:25" x14ac:dyDescent="0.35">
      <c r="A49" s="37" t="s">
        <v>2</v>
      </c>
      <c r="B49" s="6">
        <f t="shared" ref="B49:B53" si="12">B48+1</f>
        <v>44608</v>
      </c>
      <c r="C49" s="2"/>
      <c r="D49" s="2"/>
      <c r="E49" s="2"/>
      <c r="F49" s="2"/>
      <c r="G49" s="2"/>
      <c r="H49" s="2"/>
      <c r="I49" s="2"/>
      <c r="J49" s="2"/>
      <c r="K49" s="41"/>
      <c r="L49" s="113"/>
      <c r="M49" s="113"/>
      <c r="N49" s="113"/>
      <c r="O49" s="113"/>
      <c r="P49" s="113"/>
      <c r="Q49" s="114"/>
    </row>
    <row r="50" spans="1:25" x14ac:dyDescent="0.35">
      <c r="A50" s="37" t="s">
        <v>3</v>
      </c>
      <c r="B50" s="6">
        <f t="shared" si="12"/>
        <v>44609</v>
      </c>
      <c r="C50" s="2"/>
      <c r="D50" s="2"/>
      <c r="E50" s="2"/>
      <c r="F50" s="2"/>
      <c r="G50" s="2"/>
      <c r="H50" s="2"/>
      <c r="I50" s="2"/>
      <c r="J50" s="2"/>
      <c r="K50" s="41"/>
      <c r="L50" s="113"/>
      <c r="M50" s="113"/>
      <c r="N50" s="113"/>
      <c r="O50" s="113"/>
      <c r="P50" s="113"/>
      <c r="Q50" s="114"/>
    </row>
    <row r="51" spans="1:25" x14ac:dyDescent="0.35">
      <c r="A51" s="37" t="s">
        <v>4</v>
      </c>
      <c r="B51" s="6">
        <f t="shared" si="12"/>
        <v>44610</v>
      </c>
      <c r="C51" s="2"/>
      <c r="D51" s="2"/>
      <c r="E51" s="2"/>
      <c r="F51" s="2"/>
      <c r="G51" s="2"/>
      <c r="H51" s="2"/>
      <c r="I51" s="2"/>
      <c r="J51" s="2"/>
      <c r="K51" s="41"/>
      <c r="L51" s="113"/>
      <c r="M51" s="113"/>
      <c r="N51" s="113"/>
      <c r="O51" s="113"/>
      <c r="P51" s="113"/>
      <c r="Q51" s="114"/>
    </row>
    <row r="52" spans="1:25" x14ac:dyDescent="0.35">
      <c r="A52" s="37" t="s">
        <v>5</v>
      </c>
      <c r="B52" s="6">
        <f t="shared" si="12"/>
        <v>44611</v>
      </c>
      <c r="C52" s="2"/>
      <c r="D52" s="2"/>
      <c r="E52" s="2"/>
      <c r="F52" s="2"/>
      <c r="G52" s="2"/>
      <c r="H52" s="2"/>
      <c r="I52" s="2"/>
      <c r="J52" s="2"/>
      <c r="K52" s="41"/>
      <c r="L52" s="113"/>
      <c r="M52" s="113"/>
      <c r="N52" s="113"/>
      <c r="O52" s="113"/>
      <c r="P52" s="113"/>
      <c r="Q52" s="114"/>
    </row>
    <row r="53" spans="1:25" ht="24" thickBot="1" x14ac:dyDescent="0.4">
      <c r="A53" s="37" t="s">
        <v>6</v>
      </c>
      <c r="B53" s="39">
        <f t="shared" si="12"/>
        <v>44612</v>
      </c>
      <c r="C53" s="40"/>
      <c r="D53" s="40"/>
      <c r="E53" s="40"/>
      <c r="F53" s="40"/>
      <c r="G53" s="40"/>
      <c r="H53" s="40"/>
      <c r="I53" s="40"/>
      <c r="J53" s="40"/>
      <c r="K53" s="43"/>
      <c r="L53" s="115"/>
      <c r="M53" s="115"/>
      <c r="N53" s="115"/>
      <c r="O53" s="115"/>
      <c r="P53" s="115"/>
      <c r="Q53" s="116"/>
    </row>
    <row r="54" spans="1:25" ht="24.95" customHeight="1" thickBot="1" x14ac:dyDescent="0.4">
      <c r="A54" s="7" t="s">
        <v>13</v>
      </c>
      <c r="B54" s="7"/>
      <c r="C54" s="53" t="str">
        <f>IFERROR(C47:C53,"")</f>
        <v/>
      </c>
      <c r="D54" s="53" t="str">
        <f t="shared" ref="D54" si="13">IFERROR(D47:D53,"")</f>
        <v/>
      </c>
      <c r="E54" s="53" t="str">
        <f t="shared" ref="E54" si="14">IFERROR(E47:E53,"")</f>
        <v/>
      </c>
      <c r="F54" s="53" t="str">
        <f t="shared" ref="F54" si="15">IFERROR(F47:F53,"")</f>
        <v/>
      </c>
      <c r="G54" s="53" t="str">
        <f t="shared" ref="G54" si="16">IFERROR(G47:G53,"")</f>
        <v/>
      </c>
      <c r="H54" s="53" t="str">
        <f t="shared" ref="H54" si="17">IFERROR(H47:H53,"")</f>
        <v/>
      </c>
      <c r="I54" s="53" t="str">
        <f t="shared" ref="I54" si="18">IFERROR(I47:I53,"")</f>
        <v/>
      </c>
      <c r="J54" s="53" t="str">
        <f t="shared" ref="J54" si="19">IFERROR(J47:J53,"")</f>
        <v/>
      </c>
      <c r="K54" s="33"/>
      <c r="L54" s="33"/>
      <c r="M54" s="33"/>
      <c r="N54" s="33"/>
      <c r="O54" s="33"/>
      <c r="P54" s="33"/>
      <c r="Q54" s="33"/>
    </row>
    <row r="56" spans="1:25" s="46" customFormat="1" hidden="1" x14ac:dyDescent="0.35">
      <c r="D56" s="47"/>
      <c r="R56" s="1"/>
      <c r="S56" s="1"/>
      <c r="T56" s="1"/>
      <c r="U56" s="1"/>
      <c r="V56" s="1"/>
      <c r="W56" s="1"/>
      <c r="X56" s="1"/>
      <c r="Y56" s="1"/>
    </row>
    <row r="57" spans="1:25" ht="5.0999999999999996" hidden="1" customHeight="1" x14ac:dyDescent="0.35"/>
    <row r="58" spans="1:25" s="46" customFormat="1" hidden="1" x14ac:dyDescent="0.35">
      <c r="R58" s="1"/>
      <c r="S58" s="1"/>
      <c r="T58" s="1"/>
      <c r="U58" s="1"/>
      <c r="V58" s="1"/>
      <c r="W58" s="1"/>
      <c r="X58" s="1"/>
      <c r="Y58" s="1"/>
    </row>
    <row r="59" spans="1:25" hidden="1" x14ac:dyDescent="0.35">
      <c r="D59" s="44">
        <v>0.5</v>
      </c>
      <c r="E59" s="44">
        <f>1-(D59+F59)</f>
        <v>0.19999999999999996</v>
      </c>
      <c r="F59" s="44">
        <v>0.3</v>
      </c>
    </row>
    <row r="60" spans="1:25" ht="24" hidden="1" customHeight="1" thickBot="1" x14ac:dyDescent="0.4">
      <c r="A60" s="125" t="s">
        <v>43</v>
      </c>
      <c r="B60" s="126"/>
      <c r="C60" s="126"/>
      <c r="D60" s="126"/>
      <c r="E60" s="126"/>
      <c r="F60" s="126"/>
      <c r="G60" s="126"/>
      <c r="H60" s="126"/>
      <c r="I60" s="126"/>
      <c r="J60" s="126"/>
      <c r="K60" s="126"/>
      <c r="L60" s="126"/>
      <c r="M60" s="126"/>
      <c r="N60" s="126"/>
      <c r="O60" s="126"/>
      <c r="P60" s="126"/>
      <c r="Q60" s="127"/>
    </row>
    <row r="61" spans="1:25" ht="24.95" hidden="1" customHeight="1" thickBot="1" x14ac:dyDescent="0.4">
      <c r="A61" s="34"/>
      <c r="B61" s="35"/>
      <c r="C61" s="13" t="s">
        <v>12</v>
      </c>
      <c r="D61" s="3" t="s">
        <v>10</v>
      </c>
      <c r="E61" s="3" t="s">
        <v>28</v>
      </c>
      <c r="F61" s="3" t="str">
        <f>F45</f>
        <v>PROTEÍNA</v>
      </c>
      <c r="G61" s="31" t="s">
        <v>14</v>
      </c>
      <c r="H61" s="119" t="s">
        <v>15</v>
      </c>
      <c r="I61" s="119" t="s">
        <v>16</v>
      </c>
      <c r="J61" s="119" t="s">
        <v>18</v>
      </c>
      <c r="K61" s="119" t="s">
        <v>39</v>
      </c>
      <c r="L61" s="119"/>
      <c r="M61" s="119"/>
      <c r="N61" s="119"/>
      <c r="O61" s="119"/>
      <c r="P61" s="119"/>
      <c r="Q61" s="121"/>
    </row>
    <row r="62" spans="1:25" ht="24" hidden="1" thickBot="1" x14ac:dyDescent="0.4">
      <c r="A62" s="117" t="s">
        <v>19</v>
      </c>
      <c r="B62" s="118"/>
      <c r="C62" s="45">
        <f>C46</f>
        <v>2300</v>
      </c>
      <c r="D62" s="30">
        <f t="shared" ref="D62:F62" si="20">D46</f>
        <v>258.75</v>
      </c>
      <c r="E62" s="30">
        <f t="shared" si="20"/>
        <v>63.888888888888886</v>
      </c>
      <c r="F62" s="30">
        <f t="shared" si="20"/>
        <v>172.5</v>
      </c>
      <c r="G62" s="48" t="str">
        <f>G54</f>
        <v/>
      </c>
      <c r="H62" s="120"/>
      <c r="I62" s="120"/>
      <c r="J62" s="120"/>
      <c r="K62" s="120"/>
      <c r="L62" s="120"/>
      <c r="M62" s="120"/>
      <c r="N62" s="120"/>
      <c r="O62" s="120"/>
      <c r="P62" s="120"/>
      <c r="Q62" s="122"/>
    </row>
    <row r="63" spans="1:25" hidden="1" x14ac:dyDescent="0.35">
      <c r="A63" s="36" t="s">
        <v>6</v>
      </c>
      <c r="B63" s="12">
        <f>B53+1</f>
        <v>44613</v>
      </c>
      <c r="C63" s="32"/>
      <c r="D63" s="32"/>
      <c r="E63" s="32"/>
      <c r="F63" s="32"/>
      <c r="G63" s="32"/>
      <c r="H63" s="32"/>
      <c r="I63" s="32"/>
      <c r="J63" s="32"/>
      <c r="K63" s="42"/>
      <c r="L63" s="149"/>
      <c r="M63" s="149"/>
      <c r="N63" s="149"/>
      <c r="O63" s="149"/>
      <c r="P63" s="149"/>
      <c r="Q63" s="150"/>
    </row>
    <row r="64" spans="1:25" hidden="1" x14ac:dyDescent="0.35">
      <c r="A64" s="37" t="s">
        <v>0</v>
      </c>
      <c r="B64" s="6">
        <f>B63+1</f>
        <v>44614</v>
      </c>
      <c r="C64" s="2"/>
      <c r="D64" s="52"/>
      <c r="E64" s="52"/>
      <c r="F64" s="52"/>
      <c r="G64" s="2"/>
      <c r="H64" s="2"/>
      <c r="I64" s="2"/>
      <c r="J64" s="2"/>
      <c r="K64" s="41"/>
      <c r="L64" s="113"/>
      <c r="M64" s="113"/>
      <c r="N64" s="113"/>
      <c r="O64" s="113"/>
      <c r="P64" s="113"/>
      <c r="Q64" s="114"/>
    </row>
    <row r="65" spans="1:17" hidden="1" x14ac:dyDescent="0.35">
      <c r="A65" s="37" t="s">
        <v>1</v>
      </c>
      <c r="B65" s="6">
        <f t="shared" ref="B65:B69" si="21">B64+1</f>
        <v>44615</v>
      </c>
      <c r="C65" s="2"/>
      <c r="D65" s="2"/>
      <c r="E65" s="2"/>
      <c r="F65" s="2"/>
      <c r="G65" s="2"/>
      <c r="H65" s="2"/>
      <c r="I65" s="2"/>
      <c r="J65" s="2"/>
      <c r="K65" s="41"/>
      <c r="L65" s="113"/>
      <c r="M65" s="113"/>
      <c r="N65" s="113"/>
      <c r="O65" s="113"/>
      <c r="P65" s="113"/>
      <c r="Q65" s="114"/>
    </row>
    <row r="66" spans="1:17" hidden="1" x14ac:dyDescent="0.35">
      <c r="A66" s="37" t="s">
        <v>45</v>
      </c>
      <c r="B66" s="6">
        <f t="shared" si="21"/>
        <v>44616</v>
      </c>
      <c r="C66" s="2"/>
      <c r="D66" s="2"/>
      <c r="E66" s="2"/>
      <c r="F66" s="2"/>
      <c r="G66" s="2"/>
      <c r="H66" s="2"/>
      <c r="I66" s="2"/>
      <c r="J66" s="2"/>
      <c r="K66" s="41"/>
      <c r="L66" s="113"/>
      <c r="M66" s="113"/>
      <c r="N66" s="113"/>
      <c r="O66" s="113"/>
      <c r="P66" s="113"/>
      <c r="Q66" s="114"/>
    </row>
    <row r="67" spans="1:17" hidden="1" x14ac:dyDescent="0.35">
      <c r="A67" s="37" t="s">
        <v>3</v>
      </c>
      <c r="B67" s="6">
        <f t="shared" si="21"/>
        <v>44617</v>
      </c>
      <c r="C67" s="2"/>
      <c r="D67" s="2"/>
      <c r="E67" s="2"/>
      <c r="F67" s="2"/>
      <c r="G67" s="2"/>
      <c r="H67" s="2"/>
      <c r="I67" s="2"/>
      <c r="J67" s="2"/>
      <c r="K67" s="41"/>
      <c r="L67" s="113"/>
      <c r="M67" s="113"/>
      <c r="N67" s="113"/>
      <c r="O67" s="113"/>
      <c r="P67" s="113"/>
      <c r="Q67" s="114"/>
    </row>
    <row r="68" spans="1:17" hidden="1" x14ac:dyDescent="0.35">
      <c r="A68" s="37" t="s">
        <v>4</v>
      </c>
      <c r="B68" s="6">
        <f t="shared" si="21"/>
        <v>44618</v>
      </c>
      <c r="C68" s="2"/>
      <c r="D68" s="2"/>
      <c r="E68" s="2"/>
      <c r="F68" s="2"/>
      <c r="G68" s="2"/>
      <c r="H68" s="2"/>
      <c r="I68" s="2"/>
      <c r="J68" s="2"/>
      <c r="K68" s="41"/>
      <c r="L68" s="113"/>
      <c r="M68" s="113"/>
      <c r="N68" s="113"/>
      <c r="O68" s="113"/>
      <c r="P68" s="113"/>
      <c r="Q68" s="114"/>
    </row>
    <row r="69" spans="1:17" ht="24" hidden="1" thickBot="1" x14ac:dyDescent="0.4">
      <c r="A69" s="38" t="s">
        <v>46</v>
      </c>
      <c r="B69" s="39">
        <f t="shared" si="21"/>
        <v>44619</v>
      </c>
      <c r="C69" s="40"/>
      <c r="D69" s="40"/>
      <c r="E69" s="40"/>
      <c r="F69" s="40"/>
      <c r="G69" s="40"/>
      <c r="H69" s="40"/>
      <c r="I69" s="40"/>
      <c r="J69" s="40"/>
      <c r="K69" s="43"/>
      <c r="L69" s="115"/>
      <c r="M69" s="115"/>
      <c r="N69" s="115"/>
      <c r="O69" s="115"/>
      <c r="P69" s="115"/>
      <c r="Q69" s="116"/>
    </row>
    <row r="70" spans="1:17" ht="24.95" hidden="1" customHeight="1" thickBot="1" x14ac:dyDescent="0.4">
      <c r="A70" s="7" t="s">
        <v>13</v>
      </c>
      <c r="B70" s="7"/>
      <c r="C70" s="53" t="str">
        <f>IF(C63&lt;500," ",AVERAGE(C63:C69))</f>
        <v xml:space="preserve"> </v>
      </c>
      <c r="D70" s="53" t="str">
        <f t="shared" ref="D70:E70" si="22">IF(D63&lt;50," ",AVERAGE(D63:D68))</f>
        <v xml:space="preserve"> </v>
      </c>
      <c r="E70" s="53" t="str">
        <f t="shared" si="22"/>
        <v xml:space="preserve"> </v>
      </c>
      <c r="F70" s="53" t="str">
        <f>IF(F63&lt;50," ",AVERAGE(F63:F68))</f>
        <v xml:space="preserve"> </v>
      </c>
      <c r="G70" s="54" t="str">
        <f>IF(G63=0," ",AVERAGE(G63:G69))</f>
        <v xml:space="preserve"> </v>
      </c>
      <c r="H70" s="54" t="str">
        <f t="shared" ref="H70:J70" si="23">IF(H63=0," ",AVERAGE(H63:H69))</f>
        <v xml:space="preserve"> </v>
      </c>
      <c r="I70" s="54" t="str">
        <f t="shared" si="23"/>
        <v xml:space="preserve"> </v>
      </c>
      <c r="J70" s="54" t="str">
        <f t="shared" si="23"/>
        <v xml:space="preserve"> </v>
      </c>
      <c r="K70" s="33"/>
      <c r="L70" s="33"/>
      <c r="M70" s="33"/>
      <c r="N70" s="33"/>
      <c r="O70" s="33"/>
      <c r="P70" s="33"/>
      <c r="Q70" s="33"/>
    </row>
    <row r="71" spans="1:17" hidden="1" x14ac:dyDescent="0.35"/>
    <row r="72" spans="1:17" hidden="1" x14ac:dyDescent="0.35"/>
    <row r="73" spans="1:17" ht="24" hidden="1" thickBot="1" x14ac:dyDescent="0.4">
      <c r="A73" s="125" t="s">
        <v>47</v>
      </c>
      <c r="B73" s="126"/>
      <c r="C73" s="126"/>
      <c r="D73" s="126"/>
      <c r="E73" s="126"/>
      <c r="F73" s="126"/>
      <c r="G73" s="126"/>
      <c r="H73" s="126"/>
      <c r="I73" s="126"/>
      <c r="J73" s="126"/>
      <c r="K73" s="126"/>
      <c r="L73" s="126"/>
      <c r="M73" s="126"/>
      <c r="N73" s="126"/>
      <c r="O73" s="126"/>
      <c r="P73" s="126"/>
      <c r="Q73" s="127"/>
    </row>
    <row r="74" spans="1:17" hidden="1" x14ac:dyDescent="0.35">
      <c r="A74" s="34"/>
      <c r="B74" s="35"/>
      <c r="C74" s="13" t="s">
        <v>12</v>
      </c>
      <c r="D74" s="3" t="s">
        <v>10</v>
      </c>
      <c r="E74" s="3" t="s">
        <v>28</v>
      </c>
      <c r="F74" s="3" t="str">
        <f>F61</f>
        <v>PROTEÍNA</v>
      </c>
      <c r="G74" s="31" t="s">
        <v>14</v>
      </c>
      <c r="H74" s="119" t="s">
        <v>15</v>
      </c>
      <c r="I74" s="119" t="s">
        <v>16</v>
      </c>
      <c r="J74" s="119" t="s">
        <v>18</v>
      </c>
      <c r="K74" s="119" t="s">
        <v>39</v>
      </c>
      <c r="L74" s="119"/>
      <c r="M74" s="119"/>
      <c r="N74" s="119"/>
      <c r="O74" s="119"/>
      <c r="P74" s="119"/>
      <c r="Q74" s="121"/>
    </row>
    <row r="75" spans="1:17" ht="24" hidden="1" thickBot="1" x14ac:dyDescent="0.4">
      <c r="A75" s="117" t="s">
        <v>19</v>
      </c>
      <c r="B75" s="118"/>
      <c r="C75" s="45">
        <v>2100</v>
      </c>
      <c r="D75" s="30">
        <f>C75*D59/4</f>
        <v>262.5</v>
      </c>
      <c r="E75" s="30">
        <f>C75*E59/9</f>
        <v>46.666666666666657</v>
      </c>
      <c r="F75" s="30">
        <f>C75*F59/4</f>
        <v>157.5</v>
      </c>
      <c r="G75" s="48">
        <f>G67</f>
        <v>0</v>
      </c>
      <c r="H75" s="120"/>
      <c r="I75" s="120"/>
      <c r="J75" s="120"/>
      <c r="K75" s="120"/>
      <c r="L75" s="120"/>
      <c r="M75" s="120"/>
      <c r="N75" s="120"/>
      <c r="O75" s="120"/>
      <c r="P75" s="120"/>
      <c r="Q75" s="122"/>
    </row>
    <row r="76" spans="1:17" hidden="1" x14ac:dyDescent="0.35">
      <c r="A76" s="36" t="s">
        <v>6</v>
      </c>
      <c r="B76" s="12">
        <f>B66+1</f>
        <v>44617</v>
      </c>
      <c r="C76" s="2"/>
      <c r="D76" s="2"/>
      <c r="E76" s="2"/>
      <c r="F76" s="2"/>
      <c r="G76" s="2"/>
      <c r="H76" s="32"/>
      <c r="I76" s="32"/>
      <c r="J76" s="32"/>
      <c r="K76" s="42"/>
      <c r="L76" s="113"/>
      <c r="M76" s="113"/>
      <c r="N76" s="113"/>
      <c r="O76" s="113"/>
      <c r="P76" s="113"/>
      <c r="Q76" s="114"/>
    </row>
    <row r="77" spans="1:17" hidden="1" x14ac:dyDescent="0.35">
      <c r="A77" s="36" t="s">
        <v>0</v>
      </c>
      <c r="B77" s="6">
        <f>B76+1</f>
        <v>44618</v>
      </c>
      <c r="C77" s="2"/>
      <c r="D77" s="2"/>
      <c r="E77" s="2"/>
      <c r="F77" s="2"/>
      <c r="G77" s="2"/>
      <c r="H77" s="2"/>
      <c r="I77" s="2"/>
      <c r="J77" s="2"/>
      <c r="K77" s="41"/>
      <c r="L77" s="113"/>
      <c r="M77" s="113"/>
      <c r="N77" s="113"/>
      <c r="O77" s="113"/>
      <c r="P77" s="113"/>
      <c r="Q77" s="114"/>
    </row>
    <row r="78" spans="1:17" hidden="1" x14ac:dyDescent="0.35">
      <c r="A78" s="36" t="s">
        <v>1</v>
      </c>
      <c r="B78" s="6">
        <f t="shared" ref="B78:B82" si="24">B77+1</f>
        <v>44619</v>
      </c>
      <c r="C78" s="2"/>
      <c r="D78" s="2"/>
      <c r="E78" s="2"/>
      <c r="F78" s="2"/>
      <c r="G78" s="2"/>
      <c r="H78" s="2"/>
      <c r="I78" s="2"/>
      <c r="J78" s="2"/>
      <c r="K78" s="41"/>
      <c r="L78" s="113"/>
      <c r="M78" s="113"/>
      <c r="N78" s="113"/>
      <c r="O78" s="113"/>
      <c r="P78" s="113"/>
      <c r="Q78" s="114"/>
    </row>
    <row r="79" spans="1:17" hidden="1" x14ac:dyDescent="0.35">
      <c r="A79" s="36" t="s">
        <v>45</v>
      </c>
      <c r="B79" s="6">
        <f t="shared" si="24"/>
        <v>44620</v>
      </c>
      <c r="C79" s="2"/>
      <c r="D79" s="2"/>
      <c r="E79" s="2"/>
      <c r="F79" s="2"/>
      <c r="G79" s="2"/>
      <c r="H79" s="2"/>
      <c r="I79" s="2"/>
      <c r="J79" s="2"/>
      <c r="K79" s="41"/>
      <c r="L79" s="113"/>
      <c r="M79" s="113"/>
      <c r="N79" s="113"/>
      <c r="O79" s="113"/>
      <c r="P79" s="113"/>
      <c r="Q79" s="114"/>
    </row>
    <row r="80" spans="1:17" hidden="1" x14ac:dyDescent="0.35">
      <c r="A80" s="36" t="s">
        <v>3</v>
      </c>
      <c r="B80" s="6">
        <f t="shared" si="24"/>
        <v>44621</v>
      </c>
      <c r="C80" s="2"/>
      <c r="D80" s="2"/>
      <c r="E80" s="2"/>
      <c r="F80" s="2"/>
      <c r="G80" s="2"/>
      <c r="H80" s="2"/>
      <c r="I80" s="2"/>
      <c r="J80" s="2"/>
      <c r="K80" s="41"/>
      <c r="L80" s="113"/>
      <c r="M80" s="113"/>
      <c r="N80" s="113"/>
      <c r="O80" s="113"/>
      <c r="P80" s="113"/>
      <c r="Q80" s="114"/>
    </row>
    <row r="81" spans="1:17" hidden="1" x14ac:dyDescent="0.35">
      <c r="A81" s="36" t="s">
        <v>4</v>
      </c>
      <c r="B81" s="6">
        <f t="shared" si="24"/>
        <v>44622</v>
      </c>
      <c r="C81" s="2"/>
      <c r="D81" s="2"/>
      <c r="E81" s="2"/>
      <c r="F81" s="2"/>
      <c r="G81" s="2"/>
      <c r="H81" s="2"/>
      <c r="I81" s="2"/>
      <c r="J81" s="2"/>
      <c r="K81" s="41"/>
      <c r="L81" s="113"/>
      <c r="M81" s="113"/>
      <c r="N81" s="113"/>
      <c r="O81" s="113"/>
      <c r="P81" s="113"/>
      <c r="Q81" s="114"/>
    </row>
    <row r="82" spans="1:17" ht="24" hidden="1" thickBot="1" x14ac:dyDescent="0.4">
      <c r="A82" s="36" t="s">
        <v>46</v>
      </c>
      <c r="B82" s="39">
        <f t="shared" si="24"/>
        <v>44623</v>
      </c>
      <c r="C82" s="40"/>
      <c r="D82" s="40"/>
      <c r="E82" s="40"/>
      <c r="F82" s="40"/>
      <c r="G82" s="40"/>
      <c r="H82" s="40"/>
      <c r="I82" s="40"/>
      <c r="J82" s="40"/>
      <c r="K82" s="43"/>
      <c r="L82" s="115"/>
      <c r="M82" s="115"/>
      <c r="N82" s="115"/>
      <c r="O82" s="115"/>
      <c r="P82" s="115"/>
      <c r="Q82" s="116"/>
    </row>
    <row r="83" spans="1:17" ht="24" hidden="1" thickBot="1" x14ac:dyDescent="0.4">
      <c r="A83" s="7" t="s">
        <v>13</v>
      </c>
      <c r="B83" s="7"/>
      <c r="C83" s="55" t="str">
        <f>IF(C76&lt;500," ",AVERAGE(C76:C82))</f>
        <v xml:space="preserve"> </v>
      </c>
      <c r="D83" s="55" t="str">
        <f t="shared" ref="D83:E83" si="25">IF(D76&lt;50," ",AVERAGE(D76:D81))</f>
        <v xml:space="preserve"> </v>
      </c>
      <c r="E83" s="55" t="str">
        <f t="shared" si="25"/>
        <v xml:space="preserve"> </v>
      </c>
      <c r="F83" s="55" t="str">
        <f>IF(F76&lt;50," ",AVERAGE(F76:F81))</f>
        <v xml:space="preserve"> </v>
      </c>
      <c r="G83" s="56" t="str">
        <f>IF(G76=0," ",AVERAGE(G76:G82))</f>
        <v xml:space="preserve"> </v>
      </c>
      <c r="H83" s="57" t="str">
        <f t="shared" ref="H83:J83" si="26">IF(H76=0," ",AVERAGE(H76:H82))</f>
        <v xml:space="preserve"> </v>
      </c>
      <c r="I83" s="57" t="str">
        <f t="shared" si="26"/>
        <v xml:space="preserve"> </v>
      </c>
      <c r="J83" s="55" t="str">
        <f t="shared" si="26"/>
        <v xml:space="preserve"> </v>
      </c>
      <c r="K83" s="33"/>
      <c r="L83" s="33"/>
      <c r="M83" s="33"/>
      <c r="N83" s="33"/>
      <c r="O83" s="33"/>
      <c r="P83" s="33"/>
      <c r="Q83" s="33"/>
    </row>
    <row r="84" spans="1:17" hidden="1" x14ac:dyDescent="0.35"/>
  </sheetData>
  <mergeCells count="90">
    <mergeCell ref="L36:Q36"/>
    <mergeCell ref="L35:Q35"/>
    <mergeCell ref="L37:Q37"/>
    <mergeCell ref="L38:Q38"/>
    <mergeCell ref="L39:Q39"/>
    <mergeCell ref="L68:Q68"/>
    <mergeCell ref="L69:Q69"/>
    <mergeCell ref="L63:Q63"/>
    <mergeCell ref="L64:Q64"/>
    <mergeCell ref="L65:Q65"/>
    <mergeCell ref="L66:Q66"/>
    <mergeCell ref="L67:Q67"/>
    <mergeCell ref="A60:Q60"/>
    <mergeCell ref="H61:H62"/>
    <mergeCell ref="I61:I62"/>
    <mergeCell ref="J61:J62"/>
    <mergeCell ref="K61:K62"/>
    <mergeCell ref="L61:Q62"/>
    <mergeCell ref="A62:B62"/>
    <mergeCell ref="L53:Q53"/>
    <mergeCell ref="L47:Q47"/>
    <mergeCell ref="L48:Q48"/>
    <mergeCell ref="L49:Q49"/>
    <mergeCell ref="L50:Q50"/>
    <mergeCell ref="L51:Q51"/>
    <mergeCell ref="A32:Q32"/>
    <mergeCell ref="L33:Q34"/>
    <mergeCell ref="I33:I34"/>
    <mergeCell ref="J33:J34"/>
    <mergeCell ref="A8:Q8"/>
    <mergeCell ref="K9:K10"/>
    <mergeCell ref="J9:J10"/>
    <mergeCell ref="H21:H22"/>
    <mergeCell ref="I21:I22"/>
    <mergeCell ref="J21:J22"/>
    <mergeCell ref="L9:Q10"/>
    <mergeCell ref="L11:Q11"/>
    <mergeCell ref="L12:Q12"/>
    <mergeCell ref="L13:Q13"/>
    <mergeCell ref="L14:Q14"/>
    <mergeCell ref="L15:Q15"/>
    <mergeCell ref="L25:Q25"/>
    <mergeCell ref="L26:Q26"/>
    <mergeCell ref="L27:Q27"/>
    <mergeCell ref="L28:Q28"/>
    <mergeCell ref="L29:Q29"/>
    <mergeCell ref="H9:H10"/>
    <mergeCell ref="I9:I10"/>
    <mergeCell ref="A20:Q20"/>
    <mergeCell ref="L21:Q22"/>
    <mergeCell ref="L23:Q23"/>
    <mergeCell ref="L16:Q16"/>
    <mergeCell ref="L17:Q17"/>
    <mergeCell ref="A10:B10"/>
    <mergeCell ref="A22:B22"/>
    <mergeCell ref="F6:G6"/>
    <mergeCell ref="F1:G1"/>
    <mergeCell ref="F2:G2"/>
    <mergeCell ref="F3:G3"/>
    <mergeCell ref="F4:G4"/>
    <mergeCell ref="F5:G5"/>
    <mergeCell ref="K33:K34"/>
    <mergeCell ref="K21:K22"/>
    <mergeCell ref="A73:Q73"/>
    <mergeCell ref="H33:H34"/>
    <mergeCell ref="L40:Q40"/>
    <mergeCell ref="L41:Q41"/>
    <mergeCell ref="A44:Q44"/>
    <mergeCell ref="H45:H46"/>
    <mergeCell ref="I45:I46"/>
    <mergeCell ref="J45:J46"/>
    <mergeCell ref="K45:K46"/>
    <mergeCell ref="L45:Q46"/>
    <mergeCell ref="A46:B46"/>
    <mergeCell ref="L52:Q52"/>
    <mergeCell ref="A34:B34"/>
    <mergeCell ref="L24:Q24"/>
    <mergeCell ref="L80:Q80"/>
    <mergeCell ref="L81:Q81"/>
    <mergeCell ref="L82:Q82"/>
    <mergeCell ref="A75:B75"/>
    <mergeCell ref="L76:Q76"/>
    <mergeCell ref="L77:Q77"/>
    <mergeCell ref="L78:Q78"/>
    <mergeCell ref="L79:Q79"/>
    <mergeCell ref="H74:H75"/>
    <mergeCell ref="I74:I75"/>
    <mergeCell ref="J74:J75"/>
    <mergeCell ref="K74:K75"/>
    <mergeCell ref="L74:Q75"/>
  </mergeCells>
  <phoneticPr fontId="25" type="noConversion"/>
  <dataValidations disablePrompts="1" count="1">
    <dataValidation type="list" allowBlank="1" showInputMessage="1" showErrorMessage="1" sqref="K23:K29 K47:K53 K35:K41 K76:K82 K63:K69 K11:K17" xr:uid="{00000000-0002-0000-0200-000000000000}">
      <formula1>sino</formula1>
    </dataValidation>
  </dataValidations>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68945-6303-4F85-91CB-EC045269D0F8}">
  <dimension ref="A1:AS765"/>
  <sheetViews>
    <sheetView tabSelected="1" zoomScale="70" zoomScaleNormal="70" workbookViewId="0">
      <selection activeCell="C152" sqref="C152"/>
    </sheetView>
  </sheetViews>
  <sheetFormatPr defaultColWidth="10.875" defaultRowHeight="23.25" x14ac:dyDescent="0.35"/>
  <cols>
    <col min="1" max="1" width="15" style="1" customWidth="1"/>
    <col min="2" max="2" width="56.375" style="94" customWidth="1"/>
    <col min="3" max="3" width="23" style="1" customWidth="1"/>
    <col min="4" max="4" width="13.25" style="1" customWidth="1"/>
    <col min="5" max="5" width="10.875" style="33" bestFit="1" customWidth="1"/>
    <col min="6" max="6" width="15.625" style="1" bestFit="1" customWidth="1"/>
    <col min="7" max="7" width="29.75" style="1" customWidth="1"/>
    <col min="8" max="8" width="36.25" style="1" bestFit="1" customWidth="1"/>
    <col min="9" max="9" width="14.25" style="1" bestFit="1" customWidth="1"/>
    <col min="10" max="10" width="2.625" style="1" customWidth="1"/>
    <col min="11" max="11" width="1.875" style="1" customWidth="1"/>
    <col min="12" max="12" width="20.375" style="1" bestFit="1" customWidth="1"/>
    <col min="13" max="13" width="14.875" style="1" customWidth="1"/>
    <col min="14" max="14" width="20" style="1" customWidth="1"/>
    <col min="15" max="16" width="10.125" style="1" customWidth="1"/>
    <col min="17" max="16384" width="10.875" style="1"/>
  </cols>
  <sheetData>
    <row r="1" spans="1:45" x14ac:dyDescent="0.35">
      <c r="C1" s="68"/>
      <c r="D1" s="19" t="s">
        <v>20</v>
      </c>
      <c r="E1" s="136"/>
      <c r="F1" s="137"/>
      <c r="G1" s="89"/>
      <c r="H1" s="89"/>
      <c r="Z1" s="1" t="s">
        <v>40</v>
      </c>
      <c r="AC1" s="1" t="s">
        <v>40</v>
      </c>
    </row>
    <row r="2" spans="1:45" x14ac:dyDescent="0.35">
      <c r="C2" s="68"/>
      <c r="D2" s="20" t="s">
        <v>21</v>
      </c>
      <c r="E2" s="138"/>
      <c r="F2" s="139"/>
      <c r="G2" s="89"/>
      <c r="H2" s="89"/>
      <c r="Z2" s="1" t="s">
        <v>41</v>
      </c>
      <c r="AC2" s="1" t="s">
        <v>41</v>
      </c>
    </row>
    <row r="3" spans="1:45" x14ac:dyDescent="0.35">
      <c r="C3" s="68"/>
      <c r="D3" s="20" t="s">
        <v>22</v>
      </c>
      <c r="E3" s="138"/>
      <c r="F3" s="139"/>
      <c r="G3" s="89"/>
      <c r="H3" s="89"/>
    </row>
    <row r="4" spans="1:45" x14ac:dyDescent="0.35">
      <c r="C4" s="68"/>
      <c r="D4" s="20" t="s">
        <v>23</v>
      </c>
      <c r="E4" s="138"/>
      <c r="F4" s="139"/>
      <c r="G4" s="89"/>
      <c r="H4" s="89"/>
    </row>
    <row r="5" spans="1:45" x14ac:dyDescent="0.35">
      <c r="C5" s="68"/>
      <c r="D5" s="20" t="s">
        <v>24</v>
      </c>
      <c r="E5" s="138"/>
      <c r="F5" s="139"/>
      <c r="G5" s="89"/>
      <c r="H5" s="89"/>
    </row>
    <row r="6" spans="1:45" ht="24" thickBot="1" x14ac:dyDescent="0.4">
      <c r="C6" s="68"/>
      <c r="D6" s="21" t="s">
        <v>25</v>
      </c>
      <c r="E6" s="134"/>
      <c r="F6" s="135"/>
      <c r="G6" s="89"/>
      <c r="H6" s="89"/>
    </row>
    <row r="7" spans="1:45" ht="24" thickBot="1" x14ac:dyDescent="0.4">
      <c r="B7" s="95" t="s">
        <v>143</v>
      </c>
      <c r="C7" s="90"/>
    </row>
    <row r="8" spans="1:45" s="73" customFormat="1" ht="34.5" thickBot="1" x14ac:dyDescent="0.3">
      <c r="A8" s="69"/>
      <c r="B8" s="96"/>
      <c r="C8" s="70"/>
      <c r="D8" s="70"/>
      <c r="E8" s="71"/>
      <c r="F8" s="70"/>
      <c r="G8" s="70"/>
      <c r="H8" s="70"/>
      <c r="I8" s="70"/>
      <c r="J8" s="72"/>
      <c r="K8" s="72"/>
      <c r="L8" s="151" t="s">
        <v>8</v>
      </c>
      <c r="M8" s="152"/>
      <c r="N8" s="152"/>
      <c r="O8" s="153"/>
    </row>
    <row r="9" spans="1:45" s="77" customFormat="1" ht="34.5" thickBot="1" x14ac:dyDescent="0.3">
      <c r="A9" s="154" t="s">
        <v>115</v>
      </c>
      <c r="B9" s="155"/>
      <c r="C9" s="155"/>
      <c r="D9" s="155"/>
      <c r="E9" s="155"/>
      <c r="F9" s="155"/>
      <c r="G9" s="155"/>
      <c r="H9" s="155"/>
      <c r="I9" s="155"/>
      <c r="J9" s="72"/>
      <c r="K9" s="72"/>
      <c r="L9" s="74"/>
      <c r="M9" s="75"/>
      <c r="N9" s="75"/>
      <c r="O9" s="76"/>
    </row>
    <row r="10" spans="1:45" s="78" customFormat="1" ht="24" thickBot="1" x14ac:dyDescent="0.3">
      <c r="A10" s="156"/>
      <c r="B10" s="156" t="s">
        <v>55</v>
      </c>
      <c r="C10" s="120" t="s">
        <v>111</v>
      </c>
      <c r="D10" s="120" t="s">
        <v>112</v>
      </c>
      <c r="E10" s="159" t="s">
        <v>56</v>
      </c>
      <c r="F10" s="161" t="s">
        <v>57</v>
      </c>
      <c r="G10" s="161" t="s">
        <v>93</v>
      </c>
      <c r="H10" s="161" t="s">
        <v>94</v>
      </c>
      <c r="I10" s="161" t="s">
        <v>58</v>
      </c>
      <c r="J10" s="72"/>
      <c r="K10" s="72"/>
      <c r="L10" s="163" t="s">
        <v>59</v>
      </c>
      <c r="M10" s="164"/>
      <c r="N10" s="164"/>
      <c r="O10" s="165"/>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row>
    <row r="11" spans="1:45" s="78" customFormat="1" ht="24" customHeight="1" x14ac:dyDescent="0.25">
      <c r="A11" s="156"/>
      <c r="B11" s="156"/>
      <c r="C11" s="120" t="s">
        <v>60</v>
      </c>
      <c r="D11" s="120" t="s">
        <v>60</v>
      </c>
      <c r="E11" s="160"/>
      <c r="F11" s="162" t="s">
        <v>61</v>
      </c>
      <c r="G11" s="162" t="s">
        <v>61</v>
      </c>
      <c r="H11" s="162" t="s">
        <v>61</v>
      </c>
      <c r="I11" s="162" t="s">
        <v>62</v>
      </c>
      <c r="J11" s="72"/>
      <c r="K11" s="72"/>
      <c r="L11" s="166" t="s">
        <v>55</v>
      </c>
      <c r="M11" s="168" t="s">
        <v>56</v>
      </c>
      <c r="N11" s="168" t="s">
        <v>63</v>
      </c>
      <c r="O11" s="168" t="s">
        <v>62</v>
      </c>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row>
    <row r="12" spans="1:45" s="78" customFormat="1" ht="24.95" customHeight="1" thickBot="1" x14ac:dyDescent="0.3">
      <c r="A12" s="157"/>
      <c r="B12" s="157"/>
      <c r="C12" s="158"/>
      <c r="D12" s="158"/>
      <c r="E12" s="160"/>
      <c r="F12" s="162"/>
      <c r="G12" s="162"/>
      <c r="H12" s="162"/>
      <c r="I12" s="162"/>
      <c r="J12" s="72"/>
      <c r="K12" s="72"/>
      <c r="L12" s="167"/>
      <c r="M12" s="169"/>
      <c r="N12" s="169"/>
      <c r="O12" s="169"/>
      <c r="Q12" s="79"/>
      <c r="R12" s="79"/>
      <c r="S12" s="79"/>
      <c r="T12" s="79"/>
      <c r="U12" s="79"/>
      <c r="V12" s="79"/>
      <c r="W12" s="80"/>
      <c r="X12" s="79"/>
      <c r="Y12" s="79"/>
      <c r="Z12" s="79"/>
      <c r="AA12" s="79"/>
      <c r="AB12" s="79"/>
      <c r="AC12" s="79"/>
      <c r="AD12" s="79"/>
      <c r="AE12" s="79"/>
      <c r="AF12" s="79"/>
      <c r="AG12" s="79"/>
      <c r="AH12" s="79"/>
      <c r="AI12" s="79"/>
      <c r="AJ12" s="79"/>
      <c r="AK12" s="79"/>
      <c r="AL12" s="79"/>
      <c r="AM12" s="79"/>
      <c r="AN12" s="79"/>
      <c r="AO12" s="79"/>
      <c r="AP12" s="79"/>
      <c r="AQ12" s="79"/>
      <c r="AR12" s="79"/>
      <c r="AS12" s="79"/>
    </row>
    <row r="13" spans="1:45" s="79" customFormat="1" x14ac:dyDescent="0.25">
      <c r="A13" s="83" t="s">
        <v>64</v>
      </c>
      <c r="B13" s="98" t="s">
        <v>88</v>
      </c>
      <c r="C13" s="84">
        <v>3</v>
      </c>
      <c r="D13" s="84">
        <v>1</v>
      </c>
      <c r="E13" s="84">
        <v>6</v>
      </c>
      <c r="F13" s="84" t="s">
        <v>66</v>
      </c>
      <c r="G13" s="98" t="s">
        <v>95</v>
      </c>
      <c r="H13" s="92" t="s">
        <v>77</v>
      </c>
      <c r="I13" s="84">
        <v>2</v>
      </c>
      <c r="J13" s="72"/>
      <c r="K13" s="72"/>
      <c r="L13" s="84"/>
      <c r="M13" s="84"/>
      <c r="N13" s="84"/>
      <c r="O13" s="84"/>
      <c r="Q13" s="72"/>
      <c r="R13" s="72"/>
      <c r="S13" s="72"/>
      <c r="T13" s="72"/>
      <c r="U13" s="72"/>
      <c r="V13" s="72"/>
      <c r="W13" s="72"/>
      <c r="X13" s="72"/>
      <c r="Y13" s="72"/>
      <c r="Z13" s="72"/>
      <c r="AA13" s="72"/>
      <c r="AB13" s="72"/>
      <c r="AC13" s="72"/>
      <c r="AD13" s="72"/>
      <c r="AE13" s="72"/>
      <c r="AF13" s="72"/>
    </row>
    <row r="14" spans="1:45" x14ac:dyDescent="0.35">
      <c r="A14" s="81" t="s">
        <v>67</v>
      </c>
      <c r="B14" s="91" t="s">
        <v>98</v>
      </c>
      <c r="C14" s="82">
        <v>2</v>
      </c>
      <c r="D14" s="82">
        <v>3</v>
      </c>
      <c r="E14" s="82" t="s">
        <v>70</v>
      </c>
      <c r="F14" s="82" t="s">
        <v>71</v>
      </c>
      <c r="G14" s="91" t="s">
        <v>108</v>
      </c>
      <c r="H14" s="91" t="s">
        <v>100</v>
      </c>
      <c r="I14" s="82">
        <v>1</v>
      </c>
      <c r="J14" s="72"/>
      <c r="K14" s="72"/>
      <c r="L14" s="82"/>
      <c r="M14" s="82"/>
      <c r="N14" s="82"/>
      <c r="O14" s="82"/>
      <c r="Q14" s="72"/>
      <c r="R14" s="72"/>
      <c r="S14" s="72"/>
      <c r="T14" s="72"/>
      <c r="U14" s="72"/>
      <c r="V14" s="72"/>
      <c r="W14" s="72"/>
      <c r="X14" s="72"/>
      <c r="Y14" s="72"/>
      <c r="Z14" s="72"/>
      <c r="AA14" s="72"/>
      <c r="AB14" s="72"/>
      <c r="AC14" s="72"/>
      <c r="AD14" s="72"/>
      <c r="AE14" s="72"/>
      <c r="AF14" s="72"/>
    </row>
    <row r="15" spans="1:45" x14ac:dyDescent="0.35">
      <c r="A15" s="83" t="s">
        <v>69</v>
      </c>
      <c r="B15" s="98" t="s">
        <v>133</v>
      </c>
      <c r="C15" s="84">
        <v>1</v>
      </c>
      <c r="D15" s="84">
        <v>2</v>
      </c>
      <c r="E15" s="84">
        <v>15</v>
      </c>
      <c r="F15" s="84" t="s">
        <v>71</v>
      </c>
      <c r="G15" s="98" t="s">
        <v>101</v>
      </c>
      <c r="H15" s="92" t="s">
        <v>102</v>
      </c>
      <c r="I15" s="84">
        <v>2</v>
      </c>
      <c r="J15" s="72"/>
      <c r="K15" s="72"/>
      <c r="L15" s="84"/>
      <c r="M15" s="84"/>
      <c r="N15" s="84"/>
      <c r="O15" s="84"/>
      <c r="Q15" s="72"/>
      <c r="R15" s="72"/>
      <c r="S15" s="72"/>
      <c r="T15" s="72"/>
      <c r="U15" s="72"/>
      <c r="V15" s="72"/>
      <c r="W15" s="72"/>
      <c r="X15" s="72"/>
      <c r="Y15" s="72"/>
      <c r="Z15" s="72"/>
      <c r="AA15" s="72"/>
      <c r="AB15" s="72"/>
      <c r="AC15" s="72"/>
      <c r="AD15" s="72"/>
      <c r="AE15" s="72"/>
      <c r="AF15" s="72"/>
    </row>
    <row r="16" spans="1:45" x14ac:dyDescent="0.35">
      <c r="A16" s="81" t="s">
        <v>72</v>
      </c>
      <c r="B16" s="91" t="s">
        <v>154</v>
      </c>
      <c r="C16" s="82">
        <v>1</v>
      </c>
      <c r="D16" s="82">
        <v>3</v>
      </c>
      <c r="E16" s="82" t="s">
        <v>84</v>
      </c>
      <c r="F16" s="82" t="s">
        <v>71</v>
      </c>
      <c r="G16" s="91" t="s">
        <v>104</v>
      </c>
      <c r="H16" s="91" t="s">
        <v>103</v>
      </c>
      <c r="I16" s="82">
        <v>1</v>
      </c>
      <c r="J16" s="72"/>
      <c r="K16" s="72"/>
      <c r="L16" s="82"/>
      <c r="M16" s="82"/>
      <c r="N16" s="82"/>
      <c r="O16" s="82"/>
      <c r="Q16" s="72"/>
      <c r="R16" s="72"/>
      <c r="S16" s="72"/>
      <c r="T16" s="72"/>
      <c r="U16" s="72"/>
      <c r="V16" s="72"/>
      <c r="W16" s="72"/>
      <c r="X16" s="72"/>
      <c r="Y16" s="72"/>
      <c r="Z16" s="72"/>
      <c r="AA16" s="72"/>
      <c r="AB16" s="72"/>
      <c r="AC16" s="72"/>
      <c r="AD16" s="72"/>
      <c r="AE16" s="72"/>
      <c r="AF16" s="72"/>
    </row>
    <row r="17" spans="1:45" x14ac:dyDescent="0.35">
      <c r="A17" s="83" t="s">
        <v>74</v>
      </c>
      <c r="B17" s="98" t="s">
        <v>161</v>
      </c>
      <c r="C17" s="84">
        <v>1</v>
      </c>
      <c r="D17" s="84">
        <v>3</v>
      </c>
      <c r="E17" s="84" t="s">
        <v>75</v>
      </c>
      <c r="F17" s="84" t="s">
        <v>79</v>
      </c>
      <c r="G17" s="98" t="s">
        <v>163</v>
      </c>
      <c r="H17" s="92" t="s">
        <v>162</v>
      </c>
      <c r="I17" s="84">
        <v>3</v>
      </c>
      <c r="J17" s="72"/>
      <c r="K17" s="72"/>
      <c r="L17" s="84"/>
      <c r="M17" s="84"/>
      <c r="N17" s="84"/>
      <c r="O17" s="84"/>
      <c r="Q17" s="72"/>
      <c r="R17" s="72"/>
      <c r="S17" s="72"/>
      <c r="T17" s="72"/>
      <c r="U17" s="72"/>
      <c r="V17" s="72"/>
      <c r="W17" s="72"/>
      <c r="X17" s="72"/>
      <c r="Y17" s="72"/>
      <c r="Z17" s="72"/>
      <c r="AA17" s="72"/>
      <c r="AB17" s="72"/>
      <c r="AC17" s="72"/>
      <c r="AD17" s="72"/>
      <c r="AE17" s="72"/>
      <c r="AF17" s="72"/>
    </row>
    <row r="18" spans="1:45" s="79" customFormat="1" ht="26.1" customHeight="1" x14ac:dyDescent="0.25">
      <c r="A18" s="86" t="s">
        <v>172</v>
      </c>
      <c r="B18" s="93" t="s">
        <v>97</v>
      </c>
      <c r="C18" s="82">
        <v>1</v>
      </c>
      <c r="D18" s="82">
        <v>3</v>
      </c>
      <c r="E18" s="87" t="s">
        <v>75</v>
      </c>
      <c r="F18" s="82" t="s">
        <v>79</v>
      </c>
      <c r="G18" s="93" t="s">
        <v>106</v>
      </c>
      <c r="H18" s="93" t="s">
        <v>107</v>
      </c>
      <c r="I18" s="82">
        <v>3</v>
      </c>
      <c r="J18" s="72"/>
      <c r="K18" s="72"/>
      <c r="L18" s="82"/>
      <c r="M18" s="82"/>
      <c r="N18" s="82"/>
      <c r="O18" s="82"/>
      <c r="Q18" s="72"/>
      <c r="R18" s="72"/>
      <c r="S18" s="72"/>
      <c r="T18" s="72"/>
      <c r="U18" s="72"/>
      <c r="V18" s="72"/>
      <c r="W18" s="72"/>
      <c r="X18" s="72"/>
      <c r="Y18" s="72"/>
      <c r="Z18" s="72"/>
      <c r="AA18" s="72"/>
      <c r="AB18" s="72"/>
      <c r="AC18" s="72"/>
      <c r="AD18" s="72"/>
      <c r="AE18" s="72"/>
      <c r="AF18" s="72"/>
    </row>
    <row r="19" spans="1:45" s="78" customFormat="1" ht="24" thickBot="1" x14ac:dyDescent="0.3">
      <c r="A19" s="81" t="s">
        <v>173</v>
      </c>
      <c r="B19" s="91" t="s">
        <v>99</v>
      </c>
      <c r="C19" s="82">
        <v>1</v>
      </c>
      <c r="D19" s="82">
        <v>3</v>
      </c>
      <c r="E19" s="82" t="s">
        <v>81</v>
      </c>
      <c r="F19" s="82" t="s">
        <v>82</v>
      </c>
      <c r="G19" s="91" t="s">
        <v>109</v>
      </c>
      <c r="H19" s="91" t="s">
        <v>110</v>
      </c>
      <c r="I19" s="82">
        <v>0</v>
      </c>
      <c r="J19" s="72"/>
      <c r="K19" s="72"/>
      <c r="L19" s="82"/>
      <c r="M19" s="82"/>
      <c r="N19" s="82"/>
      <c r="O19" s="82"/>
      <c r="Q19" s="85"/>
      <c r="R19" s="79"/>
      <c r="S19" s="79"/>
      <c r="T19" s="79"/>
      <c r="U19" s="79"/>
      <c r="V19" s="79"/>
      <c r="W19" s="80"/>
      <c r="X19" s="79"/>
      <c r="Y19" s="79"/>
      <c r="Z19" s="79"/>
      <c r="AA19" s="79"/>
      <c r="AB19" s="79"/>
      <c r="AC19" s="79"/>
      <c r="AD19" s="79"/>
      <c r="AE19" s="79"/>
      <c r="AF19" s="79"/>
      <c r="AG19" s="79"/>
      <c r="AH19" s="79"/>
      <c r="AI19" s="79"/>
      <c r="AJ19" s="79"/>
      <c r="AK19" s="79"/>
      <c r="AL19" s="79"/>
      <c r="AM19" s="79"/>
      <c r="AN19" s="79"/>
      <c r="AO19" s="79"/>
      <c r="AP19" s="79"/>
      <c r="AQ19" s="79"/>
      <c r="AR19" s="79"/>
      <c r="AS19" s="79"/>
    </row>
    <row r="20" spans="1:45" s="79" customFormat="1" ht="34.5" thickBot="1" x14ac:dyDescent="0.3">
      <c r="A20" s="154" t="s">
        <v>114</v>
      </c>
      <c r="B20" s="170"/>
      <c r="C20" s="170"/>
      <c r="D20" s="170"/>
      <c r="E20" s="170"/>
      <c r="F20" s="170"/>
      <c r="G20" s="170"/>
      <c r="H20" s="170"/>
      <c r="I20" s="170"/>
      <c r="J20" s="72"/>
      <c r="K20" s="72"/>
      <c r="L20" s="74"/>
      <c r="M20" s="75"/>
      <c r="N20" s="75"/>
      <c r="O20" s="76"/>
      <c r="Q20" s="72"/>
      <c r="R20" s="72"/>
      <c r="S20" s="72"/>
      <c r="T20" s="72"/>
      <c r="U20" s="72"/>
      <c r="V20" s="72"/>
      <c r="W20" s="72"/>
      <c r="X20" s="72"/>
      <c r="Y20" s="72"/>
      <c r="Z20" s="72"/>
      <c r="AA20" s="72"/>
      <c r="AB20" s="72"/>
      <c r="AC20" s="72"/>
      <c r="AD20" s="72"/>
      <c r="AE20" s="72"/>
      <c r="AF20" s="72"/>
    </row>
    <row r="21" spans="1:45" s="79" customFormat="1" ht="24" thickBot="1" x14ac:dyDescent="0.3">
      <c r="A21" s="156"/>
      <c r="B21" s="156" t="s">
        <v>55</v>
      </c>
      <c r="C21" s="171" t="s">
        <v>55</v>
      </c>
      <c r="D21" s="171" t="s">
        <v>55</v>
      </c>
      <c r="E21" s="159" t="s">
        <v>56</v>
      </c>
      <c r="F21" s="161" t="s">
        <v>57</v>
      </c>
      <c r="G21" s="161" t="s">
        <v>93</v>
      </c>
      <c r="H21" s="161" t="s">
        <v>94</v>
      </c>
      <c r="I21" s="161" t="s">
        <v>58</v>
      </c>
      <c r="J21" s="72"/>
      <c r="K21" s="72"/>
      <c r="L21" s="163" t="s">
        <v>59</v>
      </c>
      <c r="M21" s="164"/>
      <c r="N21" s="164"/>
      <c r="O21" s="165"/>
      <c r="Q21" s="72"/>
      <c r="R21" s="72"/>
      <c r="S21" s="72"/>
      <c r="T21" s="72"/>
      <c r="U21" s="72"/>
      <c r="V21" s="72"/>
      <c r="W21" s="72"/>
      <c r="X21" s="72"/>
      <c r="Y21" s="72"/>
      <c r="Z21" s="72"/>
      <c r="AA21" s="72"/>
      <c r="AB21" s="72"/>
      <c r="AC21" s="72"/>
      <c r="AD21" s="72"/>
      <c r="AE21" s="72"/>
      <c r="AF21" s="72"/>
    </row>
    <row r="22" spans="1:45" s="79" customFormat="1" ht="24" customHeight="1" x14ac:dyDescent="0.25">
      <c r="A22" s="156"/>
      <c r="B22" s="156"/>
      <c r="C22" s="171" t="s">
        <v>60</v>
      </c>
      <c r="D22" s="171" t="s">
        <v>60</v>
      </c>
      <c r="E22" s="160"/>
      <c r="F22" s="162" t="s">
        <v>61</v>
      </c>
      <c r="G22" s="162" t="s">
        <v>61</v>
      </c>
      <c r="H22" s="162" t="s">
        <v>61</v>
      </c>
      <c r="I22" s="162" t="s">
        <v>62</v>
      </c>
      <c r="J22" s="72"/>
      <c r="K22" s="72"/>
      <c r="L22" s="166" t="s">
        <v>55</v>
      </c>
      <c r="M22" s="168" t="s">
        <v>56</v>
      </c>
      <c r="N22" s="168" t="s">
        <v>63</v>
      </c>
      <c r="O22" s="168" t="s">
        <v>62</v>
      </c>
      <c r="Q22" s="72"/>
      <c r="R22" s="72"/>
      <c r="S22" s="72"/>
      <c r="T22" s="72"/>
      <c r="U22" s="72"/>
      <c r="V22" s="72"/>
      <c r="W22" s="72"/>
      <c r="X22" s="72"/>
      <c r="Y22" s="72"/>
      <c r="Z22" s="72"/>
      <c r="AA22" s="72"/>
      <c r="AB22" s="72"/>
      <c r="AC22" s="72"/>
      <c r="AD22" s="72"/>
      <c r="AE22" s="72"/>
      <c r="AF22" s="72"/>
    </row>
    <row r="23" spans="1:45" s="79" customFormat="1" ht="24.95" customHeight="1" thickBot="1" x14ac:dyDescent="0.3">
      <c r="A23" s="157"/>
      <c r="B23" s="157"/>
      <c r="C23" s="161"/>
      <c r="D23" s="161"/>
      <c r="E23" s="172"/>
      <c r="F23" s="173"/>
      <c r="G23" s="162"/>
      <c r="H23" s="162"/>
      <c r="I23" s="173"/>
      <c r="J23" s="72"/>
      <c r="K23" s="72"/>
      <c r="L23" s="167"/>
      <c r="M23" s="169"/>
      <c r="N23" s="169"/>
      <c r="O23" s="169"/>
      <c r="Q23" s="72"/>
      <c r="R23" s="72"/>
      <c r="S23" s="72"/>
      <c r="T23" s="72"/>
      <c r="U23" s="72"/>
      <c r="V23" s="72"/>
      <c r="W23" s="72"/>
      <c r="X23" s="72"/>
      <c r="Y23" s="72"/>
      <c r="Z23" s="72"/>
      <c r="AA23" s="72"/>
      <c r="AB23" s="72"/>
      <c r="AC23" s="72"/>
      <c r="AD23" s="72"/>
      <c r="AE23" s="72"/>
      <c r="AF23" s="72"/>
    </row>
    <row r="24" spans="1:45" s="79" customFormat="1" x14ac:dyDescent="0.25">
      <c r="A24" s="83" t="s">
        <v>64</v>
      </c>
      <c r="B24" s="98" t="s">
        <v>119</v>
      </c>
      <c r="C24" s="84">
        <v>2</v>
      </c>
      <c r="D24" s="84">
        <v>3</v>
      </c>
      <c r="E24" s="84" t="s">
        <v>83</v>
      </c>
      <c r="F24" s="84" t="s">
        <v>68</v>
      </c>
      <c r="G24" s="98" t="s">
        <v>118</v>
      </c>
      <c r="H24" s="92" t="s">
        <v>139</v>
      </c>
      <c r="I24" s="84">
        <v>1</v>
      </c>
      <c r="J24" s="72"/>
      <c r="K24" s="72"/>
      <c r="L24" s="84"/>
      <c r="M24" s="84"/>
      <c r="N24" s="84"/>
      <c r="O24" s="84"/>
      <c r="Q24" s="72"/>
      <c r="R24" s="72"/>
      <c r="S24" s="72"/>
      <c r="T24" s="72"/>
      <c r="U24" s="72"/>
      <c r="V24" s="72"/>
      <c r="W24" s="72"/>
      <c r="X24" s="72"/>
      <c r="Y24" s="72"/>
      <c r="Z24" s="72"/>
      <c r="AA24" s="72"/>
      <c r="AB24" s="72"/>
      <c r="AC24" s="72"/>
      <c r="AD24" s="72"/>
      <c r="AE24" s="72"/>
      <c r="AF24" s="72"/>
    </row>
    <row r="25" spans="1:45" x14ac:dyDescent="0.35">
      <c r="A25" s="81" t="s">
        <v>67</v>
      </c>
      <c r="B25" s="91" t="s">
        <v>144</v>
      </c>
      <c r="C25" s="82">
        <v>4</v>
      </c>
      <c r="D25" s="82">
        <v>3</v>
      </c>
      <c r="E25" s="82" t="s">
        <v>85</v>
      </c>
      <c r="F25" s="82" t="s">
        <v>86</v>
      </c>
      <c r="G25" s="91" t="s">
        <v>124</v>
      </c>
      <c r="H25" s="91" t="s">
        <v>125</v>
      </c>
      <c r="I25" s="82">
        <v>2</v>
      </c>
      <c r="J25" s="72"/>
      <c r="K25" s="72"/>
      <c r="L25" s="82"/>
      <c r="M25" s="82"/>
      <c r="N25" s="82"/>
      <c r="O25" s="82"/>
      <c r="Q25" s="72"/>
      <c r="R25" s="72"/>
      <c r="S25" s="72"/>
      <c r="T25" s="72"/>
      <c r="U25" s="72"/>
      <c r="V25" s="72"/>
      <c r="W25" s="72"/>
      <c r="X25" s="72"/>
      <c r="Y25" s="72"/>
      <c r="Z25" s="72"/>
      <c r="AA25" s="72"/>
      <c r="AB25" s="72"/>
      <c r="AC25" s="72"/>
      <c r="AD25" s="72"/>
      <c r="AE25" s="72"/>
      <c r="AF25" s="72"/>
    </row>
    <row r="26" spans="1:45" x14ac:dyDescent="0.35">
      <c r="A26" s="83" t="s">
        <v>69</v>
      </c>
      <c r="B26" s="98" t="s">
        <v>159</v>
      </c>
      <c r="C26" s="84">
        <v>1</v>
      </c>
      <c r="D26" s="84">
        <v>3</v>
      </c>
      <c r="E26" s="84">
        <v>12</v>
      </c>
      <c r="F26" s="84" t="s">
        <v>68</v>
      </c>
      <c r="G26" s="98" t="s">
        <v>142</v>
      </c>
      <c r="H26" s="92" t="s">
        <v>141</v>
      </c>
      <c r="I26" s="84">
        <v>3</v>
      </c>
      <c r="J26" s="72"/>
      <c r="K26" s="72"/>
      <c r="L26" s="84"/>
      <c r="M26" s="84"/>
      <c r="N26" s="84"/>
      <c r="O26" s="84"/>
      <c r="Q26" s="72"/>
      <c r="R26" s="72"/>
      <c r="S26" s="72"/>
      <c r="T26" s="72"/>
      <c r="U26" s="72"/>
      <c r="V26" s="72"/>
      <c r="W26" s="72"/>
      <c r="X26" s="72"/>
      <c r="Y26" s="72"/>
      <c r="Z26" s="72"/>
      <c r="AA26" s="72"/>
      <c r="AB26" s="72"/>
      <c r="AC26" s="72"/>
      <c r="AD26" s="72"/>
      <c r="AE26" s="72"/>
      <c r="AF26" s="72"/>
    </row>
    <row r="27" spans="1:45" x14ac:dyDescent="0.35">
      <c r="A27" s="81" t="s">
        <v>72</v>
      </c>
      <c r="B27" s="91" t="s">
        <v>157</v>
      </c>
      <c r="C27" s="82">
        <v>2</v>
      </c>
      <c r="D27" s="82">
        <v>3</v>
      </c>
      <c r="E27" s="82">
        <v>12</v>
      </c>
      <c r="F27" s="82" t="s">
        <v>68</v>
      </c>
      <c r="G27" s="91" t="s">
        <v>160</v>
      </c>
      <c r="H27" s="91" t="s">
        <v>137</v>
      </c>
      <c r="I27" s="82">
        <v>3</v>
      </c>
      <c r="J27" s="72"/>
      <c r="K27" s="72"/>
      <c r="L27" s="82"/>
      <c r="M27" s="82"/>
      <c r="N27" s="82"/>
      <c r="O27" s="82"/>
      <c r="Q27" s="72"/>
      <c r="R27" s="72"/>
      <c r="S27" s="72"/>
      <c r="T27" s="72"/>
      <c r="U27" s="72"/>
      <c r="V27" s="72"/>
      <c r="W27" s="72"/>
      <c r="X27" s="72"/>
      <c r="Y27" s="72"/>
      <c r="Z27" s="72"/>
      <c r="AA27" s="72"/>
      <c r="AB27" s="72"/>
      <c r="AC27" s="72"/>
      <c r="AD27" s="72"/>
      <c r="AE27" s="72"/>
      <c r="AF27" s="72"/>
    </row>
    <row r="28" spans="1:45" s="79" customFormat="1" x14ac:dyDescent="0.25">
      <c r="A28" s="83" t="s">
        <v>176</v>
      </c>
      <c r="B28" s="98" t="s">
        <v>140</v>
      </c>
      <c r="C28" s="84">
        <v>1</v>
      </c>
      <c r="D28" s="84">
        <v>3</v>
      </c>
      <c r="E28" s="84" t="s">
        <v>84</v>
      </c>
      <c r="F28" s="84" t="s">
        <v>71</v>
      </c>
      <c r="G28" s="98" t="s">
        <v>120</v>
      </c>
      <c r="H28" s="92" t="s">
        <v>121</v>
      </c>
      <c r="I28" s="84">
        <v>1</v>
      </c>
      <c r="J28" s="72"/>
      <c r="K28" s="72"/>
      <c r="L28" s="84"/>
      <c r="M28" s="84"/>
      <c r="N28" s="84"/>
      <c r="O28" s="84"/>
      <c r="Q28" s="72"/>
      <c r="R28" s="72"/>
      <c r="S28" s="72"/>
      <c r="T28" s="72"/>
      <c r="U28" s="72"/>
      <c r="V28" s="72"/>
      <c r="W28" s="72"/>
      <c r="X28" s="72"/>
      <c r="Y28" s="72"/>
      <c r="Z28" s="72"/>
      <c r="AA28" s="72"/>
      <c r="AB28" s="72"/>
      <c r="AC28" s="72"/>
      <c r="AD28" s="72"/>
      <c r="AE28" s="72"/>
      <c r="AF28" s="72"/>
    </row>
    <row r="29" spans="1:45" s="79" customFormat="1" x14ac:dyDescent="0.25">
      <c r="A29" s="83" t="s">
        <v>177</v>
      </c>
      <c r="B29" s="98" t="s">
        <v>147</v>
      </c>
      <c r="C29" s="84">
        <v>1</v>
      </c>
      <c r="D29" s="84">
        <v>3</v>
      </c>
      <c r="E29" s="84">
        <v>20</v>
      </c>
      <c r="F29" s="84" t="s">
        <v>82</v>
      </c>
      <c r="G29" s="98" t="s">
        <v>128</v>
      </c>
      <c r="H29" s="92" t="s">
        <v>129</v>
      </c>
      <c r="I29" s="84">
        <v>1</v>
      </c>
      <c r="J29" s="72"/>
      <c r="K29" s="72"/>
      <c r="L29" s="84"/>
      <c r="M29" s="84"/>
      <c r="N29" s="84"/>
      <c r="O29" s="84"/>
      <c r="Q29" s="72"/>
      <c r="R29" s="72"/>
      <c r="S29" s="72"/>
      <c r="T29" s="72"/>
      <c r="U29" s="72"/>
      <c r="V29" s="72"/>
      <c r="W29" s="72"/>
      <c r="X29" s="72"/>
      <c r="Y29" s="72"/>
      <c r="Z29" s="72"/>
      <c r="AA29" s="72"/>
      <c r="AB29" s="72"/>
      <c r="AC29" s="72"/>
      <c r="AD29" s="72"/>
      <c r="AE29" s="72"/>
      <c r="AF29" s="72"/>
    </row>
    <row r="30" spans="1:45" x14ac:dyDescent="0.35">
      <c r="A30" s="81" t="s">
        <v>172</v>
      </c>
      <c r="B30" s="91" t="s">
        <v>138</v>
      </c>
      <c r="C30" s="82">
        <v>1</v>
      </c>
      <c r="D30" s="82">
        <v>3</v>
      </c>
      <c r="E30" s="82" t="s">
        <v>70</v>
      </c>
      <c r="F30" s="82" t="s">
        <v>71</v>
      </c>
      <c r="G30" s="91" t="s">
        <v>131</v>
      </c>
      <c r="H30" s="91" t="s">
        <v>130</v>
      </c>
      <c r="I30" s="82">
        <v>1</v>
      </c>
      <c r="J30" s="72"/>
      <c r="K30" s="72"/>
      <c r="L30" s="82"/>
      <c r="M30" s="82"/>
      <c r="N30" s="82"/>
      <c r="O30" s="82"/>
      <c r="Q30" s="72"/>
      <c r="R30" s="72"/>
      <c r="S30" s="72"/>
      <c r="T30" s="72"/>
      <c r="U30" s="72"/>
      <c r="V30" s="72"/>
      <c r="W30" s="72"/>
      <c r="X30" s="72"/>
      <c r="Y30" s="72"/>
      <c r="Z30" s="72"/>
      <c r="AA30" s="72"/>
      <c r="AB30" s="72"/>
      <c r="AC30" s="72"/>
      <c r="AD30" s="72"/>
      <c r="AE30" s="72"/>
      <c r="AF30" s="72"/>
    </row>
    <row r="31" spans="1:45" ht="24" thickBot="1" x14ac:dyDescent="0.4">
      <c r="A31" s="81" t="s">
        <v>173</v>
      </c>
      <c r="B31" s="91" t="s">
        <v>141</v>
      </c>
      <c r="C31" s="82">
        <v>0</v>
      </c>
      <c r="D31" s="82">
        <v>2</v>
      </c>
      <c r="E31" s="82">
        <v>15</v>
      </c>
      <c r="F31" s="82" t="s">
        <v>82</v>
      </c>
      <c r="G31" s="91" t="s">
        <v>122</v>
      </c>
      <c r="H31" s="91" t="s">
        <v>123</v>
      </c>
      <c r="I31" s="82">
        <v>1</v>
      </c>
      <c r="J31" s="72"/>
      <c r="K31" s="72"/>
      <c r="L31" s="82"/>
      <c r="M31" s="82"/>
      <c r="N31" s="82"/>
      <c r="O31" s="82"/>
      <c r="Q31" s="72"/>
      <c r="R31" s="72"/>
      <c r="S31" s="72"/>
      <c r="T31" s="72"/>
      <c r="U31" s="72"/>
      <c r="V31" s="72"/>
      <c r="W31" s="72"/>
      <c r="X31" s="72"/>
      <c r="Y31" s="72"/>
      <c r="Z31" s="72"/>
      <c r="AA31" s="72"/>
      <c r="AB31" s="72"/>
      <c r="AC31" s="72"/>
      <c r="AD31" s="72"/>
      <c r="AE31" s="72"/>
      <c r="AF31" s="72"/>
    </row>
    <row r="32" spans="1:45" s="79" customFormat="1" ht="34.5" thickBot="1" x14ac:dyDescent="0.3">
      <c r="A32" s="154" t="s">
        <v>178</v>
      </c>
      <c r="B32" s="155"/>
      <c r="C32" s="155"/>
      <c r="D32" s="155"/>
      <c r="E32" s="155"/>
      <c r="F32" s="155"/>
      <c r="G32" s="155"/>
      <c r="H32" s="155"/>
      <c r="I32" s="155"/>
      <c r="J32" s="72"/>
      <c r="K32" s="72"/>
      <c r="L32" s="74"/>
      <c r="M32" s="75"/>
      <c r="N32" s="75"/>
      <c r="O32" s="76"/>
      <c r="Q32" s="72"/>
      <c r="R32" s="72"/>
      <c r="S32" s="72"/>
      <c r="T32" s="72"/>
      <c r="U32" s="72"/>
      <c r="V32" s="72"/>
      <c r="W32" s="72"/>
      <c r="X32" s="72"/>
      <c r="Y32" s="72"/>
      <c r="Z32" s="72"/>
      <c r="AA32" s="72"/>
      <c r="AB32" s="72"/>
      <c r="AC32" s="72"/>
      <c r="AD32" s="72"/>
      <c r="AE32" s="72"/>
      <c r="AF32" s="72"/>
    </row>
    <row r="33" spans="1:32" s="79" customFormat="1" ht="24" customHeight="1" thickBot="1" x14ac:dyDescent="0.3">
      <c r="A33" s="156"/>
      <c r="B33" s="156" t="s">
        <v>55</v>
      </c>
      <c r="C33" s="171" t="s">
        <v>55</v>
      </c>
      <c r="D33" s="171" t="s">
        <v>55</v>
      </c>
      <c r="E33" s="159" t="s">
        <v>56</v>
      </c>
      <c r="F33" s="161" t="s">
        <v>57</v>
      </c>
      <c r="G33" s="161" t="s">
        <v>93</v>
      </c>
      <c r="H33" s="161" t="s">
        <v>94</v>
      </c>
      <c r="I33" s="161" t="s">
        <v>58</v>
      </c>
      <c r="J33" s="72"/>
      <c r="K33" s="72"/>
      <c r="L33" s="163" t="s">
        <v>59</v>
      </c>
      <c r="M33" s="164"/>
      <c r="N33" s="164"/>
      <c r="O33" s="165"/>
      <c r="Q33" s="72"/>
      <c r="R33" s="72"/>
      <c r="S33" s="72"/>
      <c r="T33" s="72"/>
      <c r="U33" s="72"/>
      <c r="V33" s="72"/>
      <c r="W33" s="72"/>
      <c r="X33" s="72"/>
      <c r="Y33" s="72"/>
      <c r="Z33" s="72"/>
      <c r="AA33" s="72"/>
      <c r="AB33" s="72"/>
      <c r="AC33" s="72"/>
      <c r="AD33" s="72"/>
      <c r="AE33" s="72"/>
      <c r="AF33" s="72"/>
    </row>
    <row r="34" spans="1:32" s="79" customFormat="1" ht="24.95" customHeight="1" x14ac:dyDescent="0.25">
      <c r="A34" s="156"/>
      <c r="B34" s="156"/>
      <c r="C34" s="171" t="s">
        <v>60</v>
      </c>
      <c r="D34" s="171" t="s">
        <v>60</v>
      </c>
      <c r="E34" s="160"/>
      <c r="F34" s="162" t="s">
        <v>61</v>
      </c>
      <c r="G34" s="162" t="s">
        <v>61</v>
      </c>
      <c r="H34" s="162" t="s">
        <v>61</v>
      </c>
      <c r="I34" s="162" t="s">
        <v>62</v>
      </c>
      <c r="J34" s="72"/>
      <c r="K34" s="72"/>
      <c r="L34" s="166" t="s">
        <v>55</v>
      </c>
      <c r="M34" s="168" t="s">
        <v>56</v>
      </c>
      <c r="N34" s="168" t="s">
        <v>63</v>
      </c>
      <c r="O34" s="168" t="s">
        <v>62</v>
      </c>
      <c r="Q34" s="72"/>
      <c r="R34" s="72"/>
      <c r="S34" s="72"/>
      <c r="T34" s="72"/>
      <c r="U34" s="72"/>
      <c r="V34" s="72"/>
      <c r="W34" s="72"/>
      <c r="X34" s="72"/>
      <c r="Y34" s="72"/>
      <c r="Z34" s="72"/>
      <c r="AA34" s="72"/>
      <c r="AB34" s="72"/>
      <c r="AC34" s="72"/>
      <c r="AD34" s="72"/>
      <c r="AE34" s="72"/>
      <c r="AF34" s="72"/>
    </row>
    <row r="35" spans="1:32" s="79" customFormat="1" ht="24.95" customHeight="1" thickBot="1" x14ac:dyDescent="0.3">
      <c r="A35" s="157"/>
      <c r="B35" s="157"/>
      <c r="C35" s="161"/>
      <c r="D35" s="161"/>
      <c r="E35" s="172"/>
      <c r="F35" s="173"/>
      <c r="G35" s="162"/>
      <c r="H35" s="162"/>
      <c r="I35" s="173"/>
      <c r="J35" s="72"/>
      <c r="K35" s="72"/>
      <c r="L35" s="167"/>
      <c r="M35" s="169"/>
      <c r="N35" s="169"/>
      <c r="O35" s="169"/>
      <c r="Q35" s="72"/>
      <c r="R35" s="72"/>
      <c r="S35" s="72"/>
      <c r="T35" s="72"/>
      <c r="U35" s="72"/>
      <c r="V35" s="72"/>
      <c r="W35" s="72"/>
      <c r="X35" s="72"/>
      <c r="Y35" s="72"/>
      <c r="Z35" s="72"/>
      <c r="AA35" s="72"/>
      <c r="AB35" s="72"/>
      <c r="AC35" s="72"/>
      <c r="AD35" s="72"/>
      <c r="AE35" s="72"/>
      <c r="AF35" s="72"/>
    </row>
    <row r="36" spans="1:32" s="79" customFormat="1" x14ac:dyDescent="0.25">
      <c r="A36" s="83" t="s">
        <v>64</v>
      </c>
      <c r="B36" s="98" t="s">
        <v>133</v>
      </c>
      <c r="C36" s="84">
        <v>1</v>
      </c>
      <c r="D36" s="84">
        <v>2</v>
      </c>
      <c r="E36" s="84">
        <v>15</v>
      </c>
      <c r="F36" s="84" t="s">
        <v>71</v>
      </c>
      <c r="G36" s="98" t="s">
        <v>101</v>
      </c>
      <c r="H36" s="92" t="s">
        <v>102</v>
      </c>
      <c r="I36" s="84">
        <v>1</v>
      </c>
      <c r="J36" s="72"/>
      <c r="K36" s="72"/>
      <c r="L36" s="84"/>
      <c r="M36" s="84"/>
      <c r="N36" s="84"/>
      <c r="O36" s="84"/>
      <c r="Q36" s="72"/>
      <c r="R36" s="72"/>
      <c r="S36" s="72"/>
      <c r="T36" s="72"/>
      <c r="U36" s="72"/>
      <c r="V36" s="72"/>
      <c r="W36" s="72"/>
      <c r="X36" s="72"/>
      <c r="Y36" s="72"/>
      <c r="Z36" s="72"/>
      <c r="AA36" s="72"/>
      <c r="AB36" s="72"/>
      <c r="AC36" s="72"/>
      <c r="AD36" s="72"/>
      <c r="AE36" s="72"/>
      <c r="AF36" s="72"/>
    </row>
    <row r="37" spans="1:32" x14ac:dyDescent="0.35">
      <c r="A37" s="81" t="s">
        <v>67</v>
      </c>
      <c r="B37" s="91" t="s">
        <v>100</v>
      </c>
      <c r="C37" s="82">
        <v>0</v>
      </c>
      <c r="D37" s="82">
        <v>2</v>
      </c>
      <c r="E37" s="82" t="s">
        <v>83</v>
      </c>
      <c r="F37" s="82" t="s">
        <v>68</v>
      </c>
      <c r="G37" s="91" t="s">
        <v>153</v>
      </c>
      <c r="H37" s="91" t="s">
        <v>133</v>
      </c>
      <c r="I37" s="82">
        <v>3</v>
      </c>
      <c r="J37" s="72"/>
      <c r="K37" s="72"/>
      <c r="L37" s="82"/>
      <c r="M37" s="82"/>
      <c r="N37" s="82"/>
      <c r="O37" s="82"/>
      <c r="Q37" s="72"/>
      <c r="R37" s="72"/>
      <c r="S37" s="72"/>
      <c r="T37" s="72"/>
      <c r="U37" s="72"/>
      <c r="V37" s="72"/>
      <c r="W37" s="72"/>
      <c r="X37" s="72"/>
      <c r="Y37" s="72"/>
      <c r="Z37" s="72"/>
      <c r="AA37" s="72"/>
      <c r="AB37" s="72"/>
      <c r="AC37" s="72"/>
      <c r="AD37" s="72"/>
      <c r="AE37" s="72"/>
      <c r="AF37" s="72"/>
    </row>
    <row r="38" spans="1:32" x14ac:dyDescent="0.35">
      <c r="A38" s="83" t="s">
        <v>69</v>
      </c>
      <c r="B38" s="98" t="s">
        <v>132</v>
      </c>
      <c r="C38" s="84">
        <v>3</v>
      </c>
      <c r="D38" s="84">
        <v>4</v>
      </c>
      <c r="E38" s="84" t="s">
        <v>70</v>
      </c>
      <c r="F38" s="84" t="s">
        <v>71</v>
      </c>
      <c r="G38" s="98" t="s">
        <v>102</v>
      </c>
      <c r="H38" s="92" t="s">
        <v>96</v>
      </c>
      <c r="I38" s="84">
        <v>1</v>
      </c>
      <c r="J38" s="72"/>
      <c r="K38" s="72"/>
      <c r="L38" s="84"/>
      <c r="M38" s="84"/>
      <c r="N38" s="84"/>
      <c r="O38" s="84"/>
      <c r="Q38" s="72"/>
      <c r="R38" s="72"/>
      <c r="S38" s="72"/>
      <c r="T38" s="72"/>
      <c r="U38" s="72"/>
      <c r="V38" s="72"/>
      <c r="W38" s="72"/>
      <c r="X38" s="72"/>
      <c r="Y38" s="72"/>
      <c r="Z38" s="72"/>
      <c r="AA38" s="72"/>
      <c r="AB38" s="72"/>
      <c r="AC38" s="72"/>
      <c r="AD38" s="72"/>
      <c r="AE38" s="72"/>
      <c r="AF38" s="72"/>
    </row>
    <row r="39" spans="1:32" x14ac:dyDescent="0.35">
      <c r="A39" s="81" t="s">
        <v>174</v>
      </c>
      <c r="B39" s="91" t="s">
        <v>164</v>
      </c>
      <c r="C39" s="82">
        <v>1</v>
      </c>
      <c r="D39" s="82">
        <v>3</v>
      </c>
      <c r="E39" s="82" t="s">
        <v>84</v>
      </c>
      <c r="F39" s="82" t="s">
        <v>71</v>
      </c>
      <c r="G39" s="91" t="s">
        <v>101</v>
      </c>
      <c r="H39" s="91" t="s">
        <v>102</v>
      </c>
      <c r="I39" s="82">
        <v>1</v>
      </c>
      <c r="J39" s="72"/>
      <c r="K39" s="72"/>
      <c r="L39" s="82"/>
      <c r="M39" s="82"/>
      <c r="N39" s="82"/>
      <c r="O39" s="82"/>
      <c r="Q39" s="72"/>
      <c r="R39" s="72"/>
      <c r="S39" s="72"/>
      <c r="T39" s="72"/>
      <c r="U39" s="72"/>
      <c r="V39" s="72"/>
      <c r="W39" s="72"/>
      <c r="X39" s="72"/>
      <c r="Y39" s="72"/>
      <c r="Z39" s="72"/>
      <c r="AA39" s="72"/>
      <c r="AB39" s="72"/>
      <c r="AC39" s="72"/>
      <c r="AD39" s="72"/>
      <c r="AE39" s="72"/>
      <c r="AF39" s="72"/>
    </row>
    <row r="40" spans="1:32" x14ac:dyDescent="0.35">
      <c r="A40" s="81" t="s">
        <v>175</v>
      </c>
      <c r="B40" s="91" t="s">
        <v>165</v>
      </c>
      <c r="C40" s="82">
        <v>1</v>
      </c>
      <c r="D40" s="82">
        <v>3</v>
      </c>
      <c r="E40" s="82" t="s">
        <v>84</v>
      </c>
      <c r="F40" s="82" t="s">
        <v>71</v>
      </c>
      <c r="G40" s="91" t="s">
        <v>104</v>
      </c>
      <c r="H40" s="91" t="s">
        <v>103</v>
      </c>
      <c r="I40" s="82">
        <v>1</v>
      </c>
      <c r="J40" s="72"/>
      <c r="K40" s="72"/>
      <c r="L40" s="82"/>
      <c r="M40" s="82"/>
      <c r="N40" s="82"/>
      <c r="O40" s="82"/>
      <c r="Q40" s="72"/>
      <c r="R40" s="72"/>
      <c r="S40" s="72"/>
      <c r="T40" s="72"/>
      <c r="U40" s="72"/>
      <c r="V40" s="72"/>
      <c r="W40" s="72"/>
      <c r="X40" s="72"/>
      <c r="Y40" s="72"/>
      <c r="Z40" s="72"/>
      <c r="AA40" s="72"/>
      <c r="AB40" s="72"/>
      <c r="AC40" s="72"/>
      <c r="AD40" s="72"/>
      <c r="AE40" s="72"/>
      <c r="AF40" s="72"/>
    </row>
    <row r="41" spans="1:32" s="79" customFormat="1" x14ac:dyDescent="0.25">
      <c r="A41" s="83" t="s">
        <v>176</v>
      </c>
      <c r="B41" s="98" t="s">
        <v>166</v>
      </c>
      <c r="C41" s="84">
        <v>1</v>
      </c>
      <c r="D41" s="84">
        <v>4</v>
      </c>
      <c r="E41" s="84">
        <v>10</v>
      </c>
      <c r="F41" s="84" t="s">
        <v>71</v>
      </c>
      <c r="G41" s="98" t="s">
        <v>105</v>
      </c>
      <c r="H41" s="92" t="s">
        <v>158</v>
      </c>
      <c r="I41" s="84">
        <v>1</v>
      </c>
      <c r="J41" s="72"/>
      <c r="K41" s="72"/>
      <c r="L41" s="84"/>
      <c r="M41" s="84"/>
      <c r="N41" s="84"/>
      <c r="O41" s="84"/>
      <c r="Q41" s="72"/>
      <c r="R41" s="72"/>
      <c r="S41" s="72"/>
      <c r="T41" s="72"/>
      <c r="U41" s="72"/>
      <c r="V41" s="72"/>
      <c r="W41" s="72"/>
      <c r="X41" s="72"/>
      <c r="Y41" s="72"/>
      <c r="Z41" s="72"/>
      <c r="AA41" s="72"/>
      <c r="AB41" s="72"/>
      <c r="AC41" s="72"/>
      <c r="AD41" s="72"/>
      <c r="AE41" s="72"/>
      <c r="AF41" s="72"/>
    </row>
    <row r="42" spans="1:32" s="79" customFormat="1" x14ac:dyDescent="0.25">
      <c r="A42" s="83" t="s">
        <v>177</v>
      </c>
      <c r="B42" s="98" t="s">
        <v>167</v>
      </c>
      <c r="C42" s="84">
        <v>1</v>
      </c>
      <c r="D42" s="84">
        <v>4</v>
      </c>
      <c r="E42" s="84">
        <v>10</v>
      </c>
      <c r="F42" s="84" t="s">
        <v>71</v>
      </c>
      <c r="G42" s="98" t="s">
        <v>161</v>
      </c>
      <c r="H42" s="92" t="s">
        <v>163</v>
      </c>
      <c r="I42" s="84">
        <v>1</v>
      </c>
      <c r="J42" s="72"/>
      <c r="K42" s="72"/>
      <c r="L42" s="84"/>
      <c r="M42" s="84"/>
      <c r="N42" s="84"/>
      <c r="O42" s="84"/>
      <c r="Q42" s="72"/>
      <c r="R42" s="72"/>
      <c r="S42" s="72"/>
      <c r="T42" s="72"/>
      <c r="U42" s="72"/>
      <c r="V42" s="72"/>
      <c r="W42" s="72"/>
      <c r="X42" s="72"/>
      <c r="Y42" s="72"/>
      <c r="Z42" s="72"/>
      <c r="AA42" s="72"/>
      <c r="AB42" s="72"/>
      <c r="AC42" s="72"/>
      <c r="AD42" s="72"/>
      <c r="AE42" s="72"/>
      <c r="AF42" s="72"/>
    </row>
    <row r="43" spans="1:32" s="79" customFormat="1" ht="26.1" customHeight="1" x14ac:dyDescent="0.25">
      <c r="A43" s="86" t="s">
        <v>172</v>
      </c>
      <c r="B43" s="93" t="s">
        <v>134</v>
      </c>
      <c r="C43" s="82">
        <v>1</v>
      </c>
      <c r="D43" s="82">
        <v>3</v>
      </c>
      <c r="E43" s="87" t="s">
        <v>73</v>
      </c>
      <c r="F43" s="82" t="s">
        <v>71</v>
      </c>
      <c r="G43" s="93" t="s">
        <v>156</v>
      </c>
      <c r="H43" s="93" t="s">
        <v>135</v>
      </c>
      <c r="I43" s="82">
        <v>2</v>
      </c>
      <c r="J43" s="72"/>
      <c r="K43" s="72"/>
      <c r="L43" s="82"/>
      <c r="M43" s="82"/>
      <c r="N43" s="82"/>
      <c r="O43" s="82"/>
      <c r="Q43" s="72"/>
      <c r="R43" s="72"/>
      <c r="S43" s="72"/>
      <c r="T43" s="72"/>
      <c r="U43" s="72"/>
      <c r="V43" s="72"/>
      <c r="W43" s="72"/>
      <c r="X43" s="72"/>
      <c r="Y43" s="72"/>
      <c r="Z43" s="72"/>
      <c r="AA43" s="72"/>
      <c r="AB43" s="72"/>
      <c r="AC43" s="72"/>
      <c r="AD43" s="72"/>
      <c r="AE43" s="72"/>
      <c r="AF43" s="72"/>
    </row>
    <row r="44" spans="1:32" s="79" customFormat="1" ht="24" thickBot="1" x14ac:dyDescent="0.3">
      <c r="A44" s="81" t="s">
        <v>173</v>
      </c>
      <c r="B44" s="91" t="s">
        <v>89</v>
      </c>
      <c r="C44" s="82">
        <v>3</v>
      </c>
      <c r="D44" s="82">
        <v>3</v>
      </c>
      <c r="E44" s="82" t="s">
        <v>70</v>
      </c>
      <c r="F44" s="82" t="s">
        <v>71</v>
      </c>
      <c r="G44" s="91" t="s">
        <v>106</v>
      </c>
      <c r="H44" s="91" t="s">
        <v>107</v>
      </c>
      <c r="I44" s="82">
        <v>1</v>
      </c>
      <c r="J44" s="72"/>
      <c r="K44" s="72"/>
      <c r="L44" s="82"/>
      <c r="M44" s="82"/>
      <c r="N44" s="82"/>
      <c r="O44" s="82"/>
      <c r="Q44" s="72"/>
      <c r="R44" s="72"/>
      <c r="S44" s="72"/>
      <c r="T44" s="72"/>
      <c r="U44" s="72"/>
      <c r="V44" s="72"/>
      <c r="W44" s="72"/>
      <c r="X44" s="72"/>
      <c r="Y44" s="72"/>
      <c r="Z44" s="72"/>
      <c r="AA44" s="72"/>
      <c r="AB44" s="72"/>
      <c r="AC44" s="72"/>
      <c r="AD44" s="72"/>
      <c r="AE44" s="72"/>
      <c r="AF44" s="72"/>
    </row>
    <row r="45" spans="1:32" s="79" customFormat="1" ht="34.5" thickBot="1" x14ac:dyDescent="0.3">
      <c r="A45" s="154" t="s">
        <v>179</v>
      </c>
      <c r="B45" s="155"/>
      <c r="C45" s="155"/>
      <c r="D45" s="155"/>
      <c r="E45" s="155"/>
      <c r="F45" s="155"/>
      <c r="G45" s="155"/>
      <c r="H45" s="155"/>
      <c r="I45" s="155"/>
      <c r="J45" s="72"/>
      <c r="K45" s="72"/>
      <c r="L45" s="74"/>
      <c r="M45" s="75"/>
      <c r="N45" s="75"/>
      <c r="O45" s="76"/>
      <c r="Q45" s="72"/>
      <c r="R45" s="72"/>
      <c r="S45" s="72"/>
      <c r="T45" s="72"/>
      <c r="U45" s="72"/>
      <c r="V45" s="72"/>
      <c r="W45" s="72"/>
      <c r="X45" s="72"/>
      <c r="Y45" s="72"/>
      <c r="Z45" s="72"/>
      <c r="AA45" s="72"/>
      <c r="AB45" s="72"/>
      <c r="AC45" s="72"/>
      <c r="AD45" s="72"/>
      <c r="AE45" s="72"/>
      <c r="AF45" s="72"/>
    </row>
    <row r="46" spans="1:32" s="79" customFormat="1" ht="24" thickBot="1" x14ac:dyDescent="0.3">
      <c r="A46" s="156"/>
      <c r="B46" s="156" t="s">
        <v>55</v>
      </c>
      <c r="C46" s="171" t="s">
        <v>55</v>
      </c>
      <c r="D46" s="171" t="s">
        <v>55</v>
      </c>
      <c r="E46" s="159" t="s">
        <v>56</v>
      </c>
      <c r="F46" s="161" t="s">
        <v>57</v>
      </c>
      <c r="G46" s="161" t="s">
        <v>93</v>
      </c>
      <c r="H46" s="161" t="s">
        <v>94</v>
      </c>
      <c r="I46" s="161" t="s">
        <v>58</v>
      </c>
      <c r="J46" s="72"/>
      <c r="K46" s="72"/>
      <c r="L46" s="163" t="s">
        <v>59</v>
      </c>
      <c r="M46" s="164"/>
      <c r="N46" s="164"/>
      <c r="O46" s="165"/>
      <c r="Q46" s="72"/>
      <c r="R46" s="72"/>
      <c r="S46" s="72"/>
      <c r="T46" s="72"/>
      <c r="U46" s="72"/>
      <c r="V46" s="72"/>
      <c r="W46" s="72"/>
      <c r="X46" s="72"/>
      <c r="Y46" s="72"/>
      <c r="Z46" s="72"/>
      <c r="AA46" s="72"/>
      <c r="AB46" s="72"/>
      <c r="AC46" s="72"/>
      <c r="AD46" s="72"/>
      <c r="AE46" s="72"/>
      <c r="AF46" s="72"/>
    </row>
    <row r="47" spans="1:32" s="79" customFormat="1" ht="24" customHeight="1" x14ac:dyDescent="0.25">
      <c r="A47" s="156"/>
      <c r="B47" s="156"/>
      <c r="C47" s="171" t="s">
        <v>60</v>
      </c>
      <c r="D47" s="171" t="s">
        <v>60</v>
      </c>
      <c r="E47" s="160"/>
      <c r="F47" s="162" t="s">
        <v>61</v>
      </c>
      <c r="G47" s="162" t="s">
        <v>61</v>
      </c>
      <c r="H47" s="162" t="s">
        <v>61</v>
      </c>
      <c r="I47" s="162" t="s">
        <v>62</v>
      </c>
      <c r="J47" s="72"/>
      <c r="K47" s="72"/>
      <c r="L47" s="166" t="s">
        <v>55</v>
      </c>
      <c r="M47" s="168" t="s">
        <v>56</v>
      </c>
      <c r="N47" s="168" t="s">
        <v>63</v>
      </c>
      <c r="O47" s="168" t="s">
        <v>62</v>
      </c>
      <c r="Q47" s="72"/>
      <c r="R47" s="72"/>
      <c r="S47" s="72"/>
      <c r="T47" s="72"/>
      <c r="U47" s="72"/>
      <c r="V47" s="72"/>
      <c r="W47" s="72"/>
      <c r="X47" s="72"/>
      <c r="Y47" s="72"/>
      <c r="Z47" s="72"/>
      <c r="AA47" s="72"/>
      <c r="AB47" s="72"/>
      <c r="AC47" s="72"/>
      <c r="AD47" s="72"/>
      <c r="AE47" s="72"/>
      <c r="AF47" s="72"/>
    </row>
    <row r="48" spans="1:32" s="79" customFormat="1" ht="24.95" customHeight="1" thickBot="1" x14ac:dyDescent="0.3">
      <c r="A48" s="157"/>
      <c r="B48" s="157"/>
      <c r="C48" s="161"/>
      <c r="D48" s="161"/>
      <c r="E48" s="172"/>
      <c r="F48" s="173"/>
      <c r="G48" s="162"/>
      <c r="H48" s="162"/>
      <c r="I48" s="173"/>
      <c r="J48" s="72"/>
      <c r="K48" s="72"/>
      <c r="L48" s="167"/>
      <c r="M48" s="169"/>
      <c r="N48" s="169"/>
      <c r="O48" s="169"/>
      <c r="Q48" s="72"/>
      <c r="R48" s="72"/>
      <c r="S48" s="72"/>
      <c r="T48" s="72"/>
      <c r="U48" s="72"/>
      <c r="V48" s="72"/>
      <c r="W48" s="72"/>
      <c r="X48" s="72"/>
      <c r="Y48" s="72"/>
      <c r="Z48" s="72"/>
      <c r="AA48" s="72"/>
      <c r="AB48" s="72"/>
      <c r="AC48" s="72"/>
      <c r="AD48" s="72"/>
      <c r="AE48" s="72"/>
      <c r="AF48" s="72"/>
    </row>
    <row r="49" spans="1:32" s="79" customFormat="1" x14ac:dyDescent="0.25">
      <c r="A49" s="83" t="s">
        <v>64</v>
      </c>
      <c r="B49" s="98" t="s">
        <v>113</v>
      </c>
      <c r="C49" s="84">
        <v>3</v>
      </c>
      <c r="D49" s="84">
        <v>1</v>
      </c>
      <c r="E49" s="84">
        <v>6</v>
      </c>
      <c r="F49" s="84" t="s">
        <v>68</v>
      </c>
      <c r="G49" s="98" t="s">
        <v>116</v>
      </c>
      <c r="H49" s="92" t="s">
        <v>117</v>
      </c>
      <c r="I49" s="84">
        <v>2</v>
      </c>
      <c r="J49" s="72"/>
      <c r="K49" s="72"/>
      <c r="L49" s="84"/>
      <c r="M49" s="84"/>
      <c r="N49" s="84"/>
      <c r="O49" s="84"/>
      <c r="Q49" s="72"/>
      <c r="R49" s="72"/>
      <c r="S49" s="72"/>
      <c r="T49" s="72"/>
      <c r="U49" s="72"/>
      <c r="V49" s="72"/>
      <c r="W49" s="72"/>
      <c r="X49" s="72"/>
      <c r="Y49" s="72"/>
      <c r="Z49" s="72"/>
      <c r="AA49" s="72"/>
      <c r="AB49" s="72"/>
      <c r="AC49" s="72"/>
      <c r="AD49" s="72"/>
      <c r="AE49" s="72"/>
      <c r="AF49" s="72"/>
    </row>
    <row r="50" spans="1:32" x14ac:dyDescent="0.35">
      <c r="A50" s="81" t="s">
        <v>67</v>
      </c>
      <c r="B50" s="91" t="s">
        <v>152</v>
      </c>
      <c r="C50" s="82">
        <v>1</v>
      </c>
      <c r="D50" s="82">
        <v>3</v>
      </c>
      <c r="E50" s="82">
        <v>8</v>
      </c>
      <c r="F50" s="82" t="s">
        <v>66</v>
      </c>
      <c r="G50" s="91" t="s">
        <v>127</v>
      </c>
      <c r="H50" s="91" t="s">
        <v>151</v>
      </c>
      <c r="I50" s="82">
        <v>2</v>
      </c>
      <c r="J50" s="72"/>
      <c r="K50" s="72"/>
      <c r="L50" s="82"/>
      <c r="M50" s="82"/>
      <c r="N50" s="82"/>
      <c r="O50" s="82"/>
      <c r="Q50" s="72"/>
      <c r="R50" s="72"/>
      <c r="S50" s="72"/>
      <c r="T50" s="72"/>
      <c r="U50" s="72"/>
      <c r="V50" s="72"/>
      <c r="W50" s="72"/>
      <c r="X50" s="72"/>
      <c r="Y50" s="72"/>
      <c r="Z50" s="72"/>
      <c r="AA50" s="72"/>
      <c r="AB50" s="72"/>
      <c r="AC50" s="72"/>
      <c r="AD50" s="72"/>
      <c r="AE50" s="72"/>
      <c r="AF50" s="72"/>
    </row>
    <row r="51" spans="1:32" x14ac:dyDescent="0.35">
      <c r="A51" s="83" t="s">
        <v>69</v>
      </c>
      <c r="B51" s="98" t="s">
        <v>119</v>
      </c>
      <c r="C51" s="84">
        <v>2</v>
      </c>
      <c r="D51" s="84">
        <v>3</v>
      </c>
      <c r="E51" s="84" t="s">
        <v>83</v>
      </c>
      <c r="F51" s="84" t="s">
        <v>68</v>
      </c>
      <c r="G51" s="98" t="s">
        <v>118</v>
      </c>
      <c r="H51" s="92" t="s">
        <v>139</v>
      </c>
      <c r="I51" s="84">
        <v>1</v>
      </c>
      <c r="J51" s="72"/>
      <c r="K51" s="72"/>
      <c r="L51" s="84"/>
      <c r="M51" s="84"/>
      <c r="N51" s="84"/>
      <c r="O51" s="84"/>
      <c r="Q51" s="72"/>
      <c r="R51" s="72"/>
      <c r="S51" s="72"/>
      <c r="T51" s="72"/>
      <c r="U51" s="72"/>
      <c r="V51" s="72"/>
      <c r="W51" s="72"/>
      <c r="X51" s="72"/>
      <c r="Y51" s="72"/>
      <c r="Z51" s="72"/>
      <c r="AA51" s="72"/>
      <c r="AB51" s="72"/>
      <c r="AC51" s="72"/>
      <c r="AD51" s="72"/>
      <c r="AE51" s="72"/>
      <c r="AF51" s="72"/>
    </row>
    <row r="52" spans="1:32" x14ac:dyDescent="0.35">
      <c r="A52" s="81" t="s">
        <v>72</v>
      </c>
      <c r="B52" s="91" t="s">
        <v>145</v>
      </c>
      <c r="C52" s="82">
        <v>2</v>
      </c>
      <c r="D52" s="82">
        <v>3</v>
      </c>
      <c r="E52" s="82" t="s">
        <v>87</v>
      </c>
      <c r="F52" s="82">
        <v>0</v>
      </c>
      <c r="G52" s="91" t="s">
        <v>146</v>
      </c>
      <c r="H52" s="91" t="s">
        <v>126</v>
      </c>
      <c r="I52" s="82">
        <v>1</v>
      </c>
      <c r="J52" s="72"/>
      <c r="K52" s="72"/>
      <c r="L52" s="82"/>
      <c r="M52" s="82"/>
      <c r="N52" s="82"/>
      <c r="O52" s="82"/>
      <c r="Q52" s="72"/>
      <c r="R52" s="72"/>
      <c r="S52" s="72"/>
      <c r="T52" s="72"/>
      <c r="U52" s="72"/>
      <c r="V52" s="72"/>
      <c r="W52" s="72"/>
      <c r="X52" s="72"/>
      <c r="Y52" s="72"/>
      <c r="Z52" s="72"/>
      <c r="AA52" s="72"/>
      <c r="AB52" s="72"/>
      <c r="AC52" s="72"/>
      <c r="AD52" s="72"/>
      <c r="AE52" s="72"/>
      <c r="AF52" s="72"/>
    </row>
    <row r="53" spans="1:32" s="79" customFormat="1" x14ac:dyDescent="0.25">
      <c r="A53" s="83" t="s">
        <v>176</v>
      </c>
      <c r="B53" s="98" t="s">
        <v>140</v>
      </c>
      <c r="C53" s="84">
        <v>1</v>
      </c>
      <c r="D53" s="84">
        <v>3</v>
      </c>
      <c r="E53" s="84" t="s">
        <v>84</v>
      </c>
      <c r="F53" s="84" t="s">
        <v>71</v>
      </c>
      <c r="G53" s="98" t="s">
        <v>120</v>
      </c>
      <c r="H53" s="92" t="s">
        <v>121</v>
      </c>
      <c r="I53" s="84">
        <v>1</v>
      </c>
      <c r="J53" s="72"/>
      <c r="K53" s="72"/>
      <c r="L53" s="84"/>
      <c r="M53" s="84"/>
      <c r="N53" s="84"/>
      <c r="O53" s="84"/>
      <c r="Q53" s="72"/>
      <c r="R53" s="72"/>
      <c r="S53" s="72"/>
      <c r="T53" s="72"/>
      <c r="U53" s="72"/>
      <c r="V53" s="72"/>
      <c r="W53" s="72"/>
      <c r="X53" s="72"/>
      <c r="Y53" s="72"/>
      <c r="Z53" s="72"/>
      <c r="AA53" s="72"/>
      <c r="AB53" s="72"/>
      <c r="AC53" s="72"/>
      <c r="AD53" s="72"/>
      <c r="AE53" s="72"/>
      <c r="AF53" s="72"/>
    </row>
    <row r="54" spans="1:32" s="79" customFormat="1" x14ac:dyDescent="0.25">
      <c r="A54" s="83" t="s">
        <v>177</v>
      </c>
      <c r="B54" s="98" t="s">
        <v>136</v>
      </c>
      <c r="C54" s="84">
        <v>1</v>
      </c>
      <c r="D54" s="84">
        <v>3</v>
      </c>
      <c r="E54" s="84" t="s">
        <v>84</v>
      </c>
      <c r="F54" s="84" t="s">
        <v>71</v>
      </c>
      <c r="G54" s="98" t="s">
        <v>128</v>
      </c>
      <c r="H54" s="92" t="s">
        <v>129</v>
      </c>
      <c r="I54" s="84">
        <v>1</v>
      </c>
      <c r="J54" s="72"/>
      <c r="K54" s="72"/>
      <c r="L54" s="84"/>
      <c r="M54" s="84"/>
      <c r="N54" s="84"/>
      <c r="O54" s="84"/>
      <c r="Q54" s="72"/>
      <c r="R54" s="72"/>
      <c r="S54" s="72"/>
      <c r="T54" s="72"/>
      <c r="U54" s="72"/>
      <c r="V54" s="72"/>
      <c r="W54" s="72"/>
      <c r="X54" s="72"/>
      <c r="Y54" s="72"/>
      <c r="Z54" s="72"/>
      <c r="AA54" s="72"/>
      <c r="AB54" s="72"/>
      <c r="AC54" s="72"/>
      <c r="AD54" s="72"/>
      <c r="AE54" s="72"/>
      <c r="AF54" s="72"/>
    </row>
    <row r="55" spans="1:32" s="79" customFormat="1" ht="26.1" customHeight="1" x14ac:dyDescent="0.25">
      <c r="A55" s="86" t="s">
        <v>76</v>
      </c>
      <c r="B55" s="93" t="s">
        <v>148</v>
      </c>
      <c r="C55" s="82">
        <v>0</v>
      </c>
      <c r="D55" s="82">
        <v>2</v>
      </c>
      <c r="E55" s="87">
        <v>15</v>
      </c>
      <c r="F55" s="82" t="s">
        <v>82</v>
      </c>
      <c r="G55" s="93" t="s">
        <v>149</v>
      </c>
      <c r="H55" s="93" t="s">
        <v>150</v>
      </c>
      <c r="I55" s="82">
        <v>0</v>
      </c>
      <c r="J55" s="72"/>
      <c r="K55" s="72"/>
      <c r="L55" s="82"/>
      <c r="M55" s="82"/>
      <c r="N55" s="82"/>
      <c r="O55" s="82"/>
      <c r="Q55" s="72"/>
      <c r="R55" s="72"/>
      <c r="S55" s="72"/>
      <c r="T55" s="72"/>
      <c r="U55" s="72"/>
      <c r="V55" s="72"/>
      <c r="W55" s="72"/>
      <c r="X55" s="72"/>
      <c r="Y55" s="72"/>
      <c r="Z55" s="72"/>
      <c r="AA55" s="72"/>
      <c r="AB55" s="72"/>
      <c r="AC55" s="72"/>
      <c r="AD55" s="72"/>
      <c r="AE55" s="72"/>
      <c r="AF55" s="72"/>
    </row>
    <row r="56" spans="1:32" s="79" customFormat="1" ht="24" thickBot="1" x14ac:dyDescent="0.3">
      <c r="A56" s="83" t="s">
        <v>90</v>
      </c>
      <c r="B56" s="98" t="s">
        <v>159</v>
      </c>
      <c r="C56" s="84">
        <v>1</v>
      </c>
      <c r="D56" s="84">
        <v>3</v>
      </c>
      <c r="E56" s="84">
        <v>12</v>
      </c>
      <c r="F56" s="84" t="s">
        <v>68</v>
      </c>
      <c r="G56" s="98" t="s">
        <v>142</v>
      </c>
      <c r="H56" s="92" t="s">
        <v>141</v>
      </c>
      <c r="I56" s="84">
        <v>3</v>
      </c>
      <c r="J56" s="72"/>
      <c r="K56" s="72"/>
      <c r="L56" s="84"/>
      <c r="M56" s="84"/>
      <c r="N56" s="84"/>
      <c r="O56" s="84"/>
      <c r="Q56" s="72"/>
      <c r="R56" s="72"/>
      <c r="S56" s="72"/>
      <c r="T56" s="72"/>
      <c r="U56" s="72"/>
      <c r="V56" s="72"/>
      <c r="W56" s="72"/>
      <c r="X56" s="72"/>
      <c r="Y56" s="72"/>
      <c r="Z56" s="72"/>
      <c r="AA56" s="72"/>
      <c r="AB56" s="72"/>
      <c r="AC56" s="72"/>
      <c r="AD56" s="72"/>
      <c r="AE56" s="72"/>
      <c r="AF56" s="72"/>
    </row>
    <row r="57" spans="1:32" s="79" customFormat="1" ht="34.5" thickBot="1" x14ac:dyDescent="0.3">
      <c r="A57" s="154" t="s">
        <v>180</v>
      </c>
      <c r="B57" s="155"/>
      <c r="C57" s="155"/>
      <c r="D57" s="155"/>
      <c r="E57" s="155"/>
      <c r="F57" s="155"/>
      <c r="G57" s="155"/>
      <c r="H57" s="155"/>
      <c r="I57" s="155"/>
      <c r="J57" s="72"/>
      <c r="K57" s="72"/>
      <c r="L57" s="74"/>
      <c r="M57" s="75"/>
      <c r="N57" s="75"/>
      <c r="O57" s="76"/>
      <c r="Q57" s="72"/>
      <c r="R57" s="72"/>
      <c r="S57" s="72"/>
      <c r="T57" s="72"/>
      <c r="U57" s="72"/>
      <c r="V57" s="72"/>
      <c r="W57" s="72"/>
      <c r="X57" s="72"/>
      <c r="Y57" s="72"/>
      <c r="Z57" s="72"/>
      <c r="AA57" s="72"/>
      <c r="AB57" s="72"/>
      <c r="AC57" s="72"/>
      <c r="AD57" s="72"/>
      <c r="AE57" s="72"/>
      <c r="AF57" s="72"/>
    </row>
    <row r="58" spans="1:32" s="79" customFormat="1" ht="24" customHeight="1" thickBot="1" x14ac:dyDescent="0.3">
      <c r="A58" s="156"/>
      <c r="B58" s="156" t="s">
        <v>55</v>
      </c>
      <c r="C58" s="171" t="s">
        <v>55</v>
      </c>
      <c r="D58" s="171" t="s">
        <v>55</v>
      </c>
      <c r="E58" s="159" t="s">
        <v>56</v>
      </c>
      <c r="F58" s="161" t="s">
        <v>57</v>
      </c>
      <c r="G58" s="161" t="s">
        <v>93</v>
      </c>
      <c r="H58" s="161" t="s">
        <v>94</v>
      </c>
      <c r="I58" s="161" t="s">
        <v>58</v>
      </c>
      <c r="J58" s="72"/>
      <c r="K58" s="72"/>
      <c r="L58" s="163" t="s">
        <v>59</v>
      </c>
      <c r="M58" s="164"/>
      <c r="N58" s="164"/>
      <c r="O58" s="165"/>
      <c r="Q58" s="72"/>
      <c r="R58" s="72"/>
      <c r="S58" s="72"/>
      <c r="T58" s="72"/>
      <c r="U58" s="72"/>
      <c r="V58" s="72"/>
      <c r="W58" s="72"/>
      <c r="X58" s="72"/>
      <c r="Y58" s="72"/>
      <c r="Z58" s="72"/>
      <c r="AA58" s="72"/>
      <c r="AB58" s="72"/>
      <c r="AC58" s="72"/>
      <c r="AD58" s="72"/>
      <c r="AE58" s="72"/>
      <c r="AF58" s="72"/>
    </row>
    <row r="59" spans="1:32" s="79" customFormat="1" ht="24.95" customHeight="1" x14ac:dyDescent="0.25">
      <c r="A59" s="156"/>
      <c r="B59" s="156"/>
      <c r="C59" s="171" t="s">
        <v>60</v>
      </c>
      <c r="D59" s="171" t="s">
        <v>60</v>
      </c>
      <c r="E59" s="160"/>
      <c r="F59" s="162" t="s">
        <v>61</v>
      </c>
      <c r="G59" s="162" t="s">
        <v>61</v>
      </c>
      <c r="H59" s="162" t="s">
        <v>61</v>
      </c>
      <c r="I59" s="162" t="s">
        <v>62</v>
      </c>
      <c r="J59" s="72"/>
      <c r="K59" s="72"/>
      <c r="L59" s="166" t="s">
        <v>55</v>
      </c>
      <c r="M59" s="168" t="s">
        <v>56</v>
      </c>
      <c r="N59" s="168" t="s">
        <v>63</v>
      </c>
      <c r="O59" s="168" t="s">
        <v>62</v>
      </c>
      <c r="Q59" s="72"/>
      <c r="R59" s="72"/>
      <c r="S59" s="72"/>
      <c r="T59" s="72"/>
      <c r="U59" s="72"/>
      <c r="V59" s="72"/>
      <c r="W59" s="72"/>
      <c r="X59" s="72"/>
      <c r="Y59" s="72"/>
      <c r="Z59" s="72"/>
      <c r="AA59" s="72"/>
      <c r="AB59" s="72"/>
      <c r="AC59" s="72"/>
      <c r="AD59" s="72"/>
      <c r="AE59" s="72"/>
      <c r="AF59" s="72"/>
    </row>
    <row r="60" spans="1:32" s="79" customFormat="1" ht="24.95" customHeight="1" thickBot="1" x14ac:dyDescent="0.3">
      <c r="A60" s="157"/>
      <c r="B60" s="157"/>
      <c r="C60" s="161"/>
      <c r="D60" s="161"/>
      <c r="E60" s="172"/>
      <c r="F60" s="173"/>
      <c r="G60" s="162"/>
      <c r="H60" s="162"/>
      <c r="I60" s="173"/>
      <c r="J60" s="72"/>
      <c r="K60" s="72"/>
      <c r="L60" s="167"/>
      <c r="M60" s="169"/>
      <c r="N60" s="169"/>
      <c r="O60" s="169"/>
      <c r="Q60" s="72"/>
      <c r="R60" s="72"/>
      <c r="S60" s="72"/>
      <c r="T60" s="72"/>
      <c r="U60" s="72"/>
      <c r="V60" s="72"/>
      <c r="W60" s="72"/>
      <c r="X60" s="72"/>
      <c r="Y60" s="72"/>
      <c r="Z60" s="72"/>
      <c r="AA60" s="72"/>
      <c r="AB60" s="72"/>
      <c r="AC60" s="72"/>
      <c r="AD60" s="72"/>
      <c r="AE60" s="72"/>
      <c r="AF60" s="72"/>
    </row>
    <row r="61" spans="1:32" s="79" customFormat="1" x14ac:dyDescent="0.25">
      <c r="A61" s="83" t="s">
        <v>64</v>
      </c>
      <c r="B61" s="98" t="s">
        <v>65</v>
      </c>
      <c r="C61" s="84">
        <v>3</v>
      </c>
      <c r="D61" s="84">
        <v>1</v>
      </c>
      <c r="E61" s="84" t="s">
        <v>70</v>
      </c>
      <c r="F61" s="84" t="s">
        <v>71</v>
      </c>
      <c r="G61" s="98" t="s">
        <v>153</v>
      </c>
      <c r="H61" s="92" t="s">
        <v>133</v>
      </c>
      <c r="I61" s="84">
        <v>1</v>
      </c>
      <c r="J61" s="72"/>
      <c r="K61" s="72"/>
      <c r="L61" s="84"/>
      <c r="M61" s="84"/>
      <c r="N61" s="84"/>
      <c r="O61" s="84"/>
      <c r="Q61" s="72"/>
      <c r="R61" s="72"/>
      <c r="S61" s="72"/>
      <c r="T61" s="72"/>
      <c r="U61" s="72"/>
      <c r="V61" s="72"/>
      <c r="W61" s="72"/>
      <c r="X61" s="72"/>
      <c r="Y61" s="72"/>
      <c r="Z61" s="72"/>
      <c r="AA61" s="72"/>
      <c r="AB61" s="72"/>
      <c r="AC61" s="72"/>
      <c r="AD61" s="72"/>
      <c r="AE61" s="72"/>
      <c r="AF61" s="72"/>
    </row>
    <row r="62" spans="1:32" x14ac:dyDescent="0.35">
      <c r="A62" s="81" t="s">
        <v>67</v>
      </c>
      <c r="B62" s="91" t="s">
        <v>168</v>
      </c>
      <c r="C62" s="82">
        <v>1</v>
      </c>
      <c r="D62" s="82">
        <v>2</v>
      </c>
      <c r="E62" s="82">
        <v>15</v>
      </c>
      <c r="F62" s="82" t="s">
        <v>71</v>
      </c>
      <c r="G62" s="91" t="s">
        <v>154</v>
      </c>
      <c r="H62" s="91" t="s">
        <v>100</v>
      </c>
      <c r="I62" s="82">
        <v>3</v>
      </c>
      <c r="J62" s="72"/>
      <c r="K62" s="72"/>
      <c r="L62" s="82"/>
      <c r="M62" s="82"/>
      <c r="N62" s="82"/>
      <c r="O62" s="82"/>
      <c r="Q62" s="72"/>
      <c r="R62" s="72"/>
      <c r="S62" s="72"/>
      <c r="T62" s="72"/>
      <c r="U62" s="72"/>
      <c r="V62" s="72"/>
      <c r="W62" s="72"/>
      <c r="X62" s="72"/>
      <c r="Y62" s="72"/>
      <c r="Z62" s="72"/>
      <c r="AA62" s="72"/>
      <c r="AB62" s="72"/>
      <c r="AC62" s="72"/>
      <c r="AD62" s="72"/>
      <c r="AE62" s="72"/>
      <c r="AF62" s="72"/>
    </row>
    <row r="63" spans="1:32" x14ac:dyDescent="0.35">
      <c r="A63" s="83" t="s">
        <v>69</v>
      </c>
      <c r="B63" s="98" t="s">
        <v>96</v>
      </c>
      <c r="C63" s="84">
        <v>1</v>
      </c>
      <c r="D63" s="84">
        <v>2</v>
      </c>
      <c r="E63" s="84">
        <v>15</v>
      </c>
      <c r="F63" s="84" t="s">
        <v>71</v>
      </c>
      <c r="G63" s="98" t="s">
        <v>101</v>
      </c>
      <c r="H63" s="92" t="s">
        <v>102</v>
      </c>
      <c r="I63" s="84">
        <v>2</v>
      </c>
      <c r="J63" s="72"/>
      <c r="K63" s="72"/>
      <c r="L63" s="84"/>
      <c r="M63" s="84"/>
      <c r="N63" s="84"/>
      <c r="O63" s="84"/>
      <c r="Q63" s="72"/>
      <c r="R63" s="72"/>
      <c r="S63" s="72"/>
      <c r="T63" s="72"/>
      <c r="U63" s="72"/>
      <c r="V63" s="72"/>
      <c r="W63" s="72"/>
      <c r="X63" s="72"/>
      <c r="Y63" s="72"/>
      <c r="Z63" s="72"/>
      <c r="AA63" s="72"/>
      <c r="AB63" s="72"/>
      <c r="AC63" s="72"/>
      <c r="AD63" s="72"/>
      <c r="AE63" s="72"/>
      <c r="AF63" s="72"/>
    </row>
    <row r="64" spans="1:32" x14ac:dyDescent="0.35">
      <c r="A64" s="81" t="s">
        <v>72</v>
      </c>
      <c r="B64" s="91" t="s">
        <v>169</v>
      </c>
      <c r="C64" s="82">
        <v>1</v>
      </c>
      <c r="D64" s="82">
        <v>3</v>
      </c>
      <c r="E64" s="82" t="s">
        <v>84</v>
      </c>
      <c r="F64" s="82" t="s">
        <v>71</v>
      </c>
      <c r="G64" s="91" t="s">
        <v>170</v>
      </c>
      <c r="H64" s="91" t="s">
        <v>171</v>
      </c>
      <c r="I64" s="82">
        <v>1</v>
      </c>
      <c r="J64" s="72"/>
      <c r="K64" s="72"/>
      <c r="L64" s="82"/>
      <c r="M64" s="82"/>
      <c r="N64" s="82"/>
      <c r="O64" s="82"/>
      <c r="Q64" s="72"/>
      <c r="R64" s="72"/>
      <c r="S64" s="72"/>
      <c r="T64" s="72"/>
      <c r="U64" s="72"/>
      <c r="V64" s="72"/>
      <c r="W64" s="72"/>
      <c r="X64" s="72"/>
      <c r="Y64" s="72"/>
      <c r="Z64" s="72"/>
      <c r="AA64" s="72"/>
      <c r="AB64" s="72"/>
      <c r="AC64" s="72"/>
      <c r="AD64" s="72"/>
      <c r="AE64" s="72"/>
      <c r="AF64" s="72"/>
    </row>
    <row r="65" spans="1:32" x14ac:dyDescent="0.35">
      <c r="A65" s="83" t="s">
        <v>74</v>
      </c>
      <c r="B65" s="98" t="s">
        <v>155</v>
      </c>
      <c r="C65" s="84">
        <v>1</v>
      </c>
      <c r="D65" s="84">
        <v>3</v>
      </c>
      <c r="E65" s="84" t="s">
        <v>84</v>
      </c>
      <c r="F65" s="84" t="s">
        <v>71</v>
      </c>
      <c r="G65" s="98" t="s">
        <v>101</v>
      </c>
      <c r="H65" s="92" t="s">
        <v>102</v>
      </c>
      <c r="I65" s="84">
        <v>1</v>
      </c>
      <c r="J65" s="72"/>
      <c r="K65" s="72"/>
      <c r="L65" s="84"/>
      <c r="M65" s="84"/>
      <c r="N65" s="84"/>
      <c r="O65" s="84"/>
      <c r="Q65" s="72"/>
      <c r="R65" s="72"/>
      <c r="S65" s="72"/>
      <c r="T65" s="72"/>
      <c r="U65" s="72"/>
      <c r="V65" s="72"/>
      <c r="W65" s="72"/>
      <c r="X65" s="72"/>
      <c r="Y65" s="72"/>
      <c r="Z65" s="72"/>
      <c r="AA65" s="72"/>
      <c r="AB65" s="72"/>
      <c r="AC65" s="72"/>
      <c r="AD65" s="72"/>
      <c r="AE65" s="72"/>
      <c r="AF65" s="72"/>
    </row>
    <row r="66" spans="1:32" s="79" customFormat="1" ht="26.1" customHeight="1" x14ac:dyDescent="0.25">
      <c r="A66" s="86" t="s">
        <v>76</v>
      </c>
      <c r="B66" s="93" t="s">
        <v>161</v>
      </c>
      <c r="C66" s="82">
        <v>1</v>
      </c>
      <c r="D66" s="82">
        <v>3</v>
      </c>
      <c r="E66" s="87" t="s">
        <v>75</v>
      </c>
      <c r="F66" s="82" t="s">
        <v>79</v>
      </c>
      <c r="G66" s="93" t="s">
        <v>163</v>
      </c>
      <c r="H66" s="93" t="s">
        <v>162</v>
      </c>
      <c r="I66" s="82">
        <v>3</v>
      </c>
      <c r="J66" s="72"/>
      <c r="K66" s="72"/>
      <c r="L66" s="82"/>
      <c r="M66" s="82"/>
      <c r="N66" s="82"/>
      <c r="O66" s="82"/>
      <c r="Q66" s="72"/>
      <c r="R66" s="72"/>
      <c r="S66" s="72"/>
      <c r="T66" s="72"/>
      <c r="U66" s="72"/>
      <c r="V66" s="72"/>
      <c r="W66" s="72"/>
      <c r="X66" s="72"/>
      <c r="Y66" s="72"/>
      <c r="Z66" s="72"/>
      <c r="AA66" s="72"/>
      <c r="AB66" s="72"/>
      <c r="AC66" s="72"/>
      <c r="AD66" s="72"/>
      <c r="AE66" s="72"/>
      <c r="AF66" s="72"/>
    </row>
    <row r="67" spans="1:32" s="79" customFormat="1" x14ac:dyDescent="0.25">
      <c r="A67" s="83" t="s">
        <v>78</v>
      </c>
      <c r="B67" s="98" t="s">
        <v>109</v>
      </c>
      <c r="C67" s="84">
        <v>1</v>
      </c>
      <c r="D67" s="84">
        <v>3</v>
      </c>
      <c r="E67" s="84" t="s">
        <v>73</v>
      </c>
      <c r="F67" s="84" t="s">
        <v>71</v>
      </c>
      <c r="G67" s="98" t="s">
        <v>156</v>
      </c>
      <c r="H67" s="92" t="s">
        <v>135</v>
      </c>
      <c r="I67" s="84">
        <v>2</v>
      </c>
      <c r="J67" s="72"/>
      <c r="K67" s="72"/>
      <c r="L67" s="84"/>
      <c r="M67" s="84"/>
      <c r="N67" s="84"/>
      <c r="O67" s="84"/>
      <c r="Q67" s="72"/>
      <c r="R67" s="72"/>
      <c r="S67" s="72"/>
      <c r="T67" s="72"/>
      <c r="U67" s="72"/>
      <c r="V67" s="72"/>
      <c r="W67" s="72"/>
      <c r="X67" s="72"/>
      <c r="Y67" s="72"/>
      <c r="Z67" s="72"/>
      <c r="AA67" s="72"/>
      <c r="AB67" s="72"/>
      <c r="AC67" s="72"/>
      <c r="AD67" s="72"/>
      <c r="AE67" s="72"/>
      <c r="AF67" s="72"/>
    </row>
    <row r="68" spans="1:32" s="79" customFormat="1" x14ac:dyDescent="0.25">
      <c r="A68" s="83" t="s">
        <v>80</v>
      </c>
      <c r="B68" s="98" t="s">
        <v>110</v>
      </c>
      <c r="C68" s="84">
        <v>3</v>
      </c>
      <c r="D68" s="84">
        <v>3</v>
      </c>
      <c r="E68" s="84" t="s">
        <v>70</v>
      </c>
      <c r="F68" s="84" t="s">
        <v>71</v>
      </c>
      <c r="G68" s="98" t="s">
        <v>106</v>
      </c>
      <c r="H68" s="92" t="s">
        <v>107</v>
      </c>
      <c r="I68" s="84">
        <v>1</v>
      </c>
      <c r="J68" s="72"/>
      <c r="K68" s="72"/>
      <c r="L68" s="84"/>
      <c r="M68" s="84"/>
      <c r="N68" s="84"/>
      <c r="O68" s="84"/>
      <c r="Q68" s="72"/>
      <c r="R68" s="72"/>
      <c r="S68" s="72"/>
      <c r="T68" s="72"/>
      <c r="U68" s="72"/>
      <c r="V68" s="72"/>
      <c r="W68" s="72"/>
      <c r="X68" s="72"/>
      <c r="Y68" s="72"/>
      <c r="Z68" s="72"/>
      <c r="AA68" s="72"/>
      <c r="AB68" s="72"/>
      <c r="AC68" s="72"/>
      <c r="AD68" s="72"/>
      <c r="AE68" s="72"/>
      <c r="AF68" s="72"/>
    </row>
    <row r="69" spans="1:32" x14ac:dyDescent="0.35">
      <c r="A69"/>
      <c r="B69" s="97"/>
      <c r="C69"/>
      <c r="D69"/>
      <c r="E69" s="88"/>
      <c r="F69"/>
      <c r="G69"/>
      <c r="H69"/>
      <c r="I69"/>
      <c r="J69"/>
      <c r="K69"/>
      <c r="L69"/>
      <c r="M69"/>
      <c r="N69"/>
      <c r="O69"/>
      <c r="P69" s="72"/>
      <c r="Q69" s="72"/>
      <c r="R69" s="72"/>
      <c r="S69" s="72"/>
      <c r="T69" s="72"/>
      <c r="U69" s="72"/>
      <c r="V69" s="72"/>
      <c r="W69" s="72"/>
      <c r="X69" s="72"/>
      <c r="Y69" s="72"/>
      <c r="Z69" s="72"/>
      <c r="AA69" s="72"/>
    </row>
    <row r="70" spans="1:32" x14ac:dyDescent="0.35">
      <c r="A70"/>
      <c r="B70"/>
      <c r="C70"/>
      <c r="D70"/>
      <c r="E70"/>
      <c r="F70"/>
      <c r="G70"/>
      <c r="H70"/>
      <c r="I70" s="72"/>
      <c r="J70" s="72"/>
      <c r="K70" s="72"/>
      <c r="L70" s="72"/>
      <c r="M70" s="72"/>
      <c r="N70" s="72"/>
      <c r="O70" s="72"/>
      <c r="P70" s="72"/>
      <c r="Q70" s="72"/>
      <c r="R70" s="72"/>
      <c r="S70" s="72"/>
      <c r="T70" s="72"/>
    </row>
    <row r="71" spans="1:32" x14ac:dyDescent="0.35">
      <c r="A71"/>
      <c r="B71"/>
      <c r="C71"/>
      <c r="D71"/>
      <c r="E71"/>
      <c r="F71"/>
      <c r="G71"/>
      <c r="H71"/>
      <c r="I71" s="72"/>
      <c r="J71" s="72"/>
      <c r="K71" s="72"/>
      <c r="L71" s="72"/>
      <c r="M71" s="72"/>
      <c r="N71" s="72"/>
      <c r="O71" s="72"/>
      <c r="P71" s="72"/>
      <c r="Q71" s="72"/>
      <c r="R71" s="72"/>
      <c r="S71" s="72"/>
      <c r="T71" s="72"/>
    </row>
    <row r="72" spans="1:32" x14ac:dyDescent="0.35">
      <c r="A72"/>
      <c r="B72"/>
      <c r="C72"/>
      <c r="D72"/>
      <c r="E72"/>
      <c r="F72"/>
      <c r="G72"/>
      <c r="H72"/>
      <c r="I72" s="72"/>
      <c r="J72" s="72"/>
      <c r="K72" s="72"/>
      <c r="L72" s="72"/>
      <c r="M72" s="72"/>
      <c r="N72" s="72"/>
      <c r="O72" s="72"/>
      <c r="P72" s="72"/>
      <c r="Q72" s="72"/>
      <c r="R72" s="72"/>
      <c r="S72" s="72"/>
      <c r="T72" s="72"/>
    </row>
    <row r="73" spans="1:32" x14ac:dyDescent="0.35">
      <c r="A73"/>
      <c r="B73"/>
      <c r="C73"/>
      <c r="D73"/>
      <c r="E73"/>
      <c r="F73"/>
      <c r="G73"/>
      <c r="H73"/>
      <c r="I73" s="72"/>
      <c r="J73" s="72"/>
      <c r="K73" s="72"/>
      <c r="L73" s="72"/>
      <c r="M73" s="72"/>
      <c r="N73" s="72"/>
      <c r="O73" s="72"/>
      <c r="P73" s="72"/>
      <c r="Q73" s="72"/>
      <c r="R73" s="72"/>
      <c r="S73" s="72"/>
      <c r="T73" s="72"/>
    </row>
    <row r="74" spans="1:32" x14ac:dyDescent="0.35">
      <c r="A74"/>
      <c r="B74"/>
      <c r="C74"/>
      <c r="D74"/>
      <c r="E74"/>
      <c r="F74"/>
      <c r="G74"/>
      <c r="H74"/>
      <c r="I74" s="72"/>
      <c r="J74" s="72"/>
      <c r="K74" s="72"/>
      <c r="L74" s="72"/>
      <c r="M74" s="72"/>
      <c r="N74" s="72"/>
      <c r="O74" s="72"/>
      <c r="P74" s="72"/>
      <c r="Q74" s="72"/>
      <c r="R74" s="72"/>
      <c r="S74" s="72"/>
      <c r="T74" s="72"/>
    </row>
    <row r="75" spans="1:32" x14ac:dyDescent="0.35">
      <c r="A75"/>
      <c r="B75" s="97"/>
      <c r="C75"/>
      <c r="D75"/>
      <c r="E75" s="88"/>
      <c r="F75"/>
      <c r="G75"/>
      <c r="H75"/>
      <c r="I75"/>
      <c r="J75"/>
      <c r="K75"/>
      <c r="L75"/>
      <c r="M75"/>
      <c r="N75"/>
      <c r="O75"/>
      <c r="P75" s="72"/>
      <c r="Q75" s="72"/>
      <c r="R75" s="72"/>
      <c r="S75" s="72"/>
      <c r="T75" s="72"/>
      <c r="U75" s="72"/>
      <c r="V75" s="72"/>
      <c r="W75" s="72"/>
      <c r="X75" s="72"/>
      <c r="Y75" s="72"/>
      <c r="Z75" s="72"/>
      <c r="AA75" s="72"/>
    </row>
    <row r="76" spans="1:32" x14ac:dyDescent="0.35">
      <c r="A76"/>
      <c r="B76" s="97"/>
      <c r="C76"/>
      <c r="D76"/>
      <c r="E76" s="88"/>
      <c r="F76"/>
      <c r="G76"/>
      <c r="H76"/>
      <c r="I76"/>
      <c r="J76"/>
      <c r="K76"/>
      <c r="L76"/>
      <c r="M76"/>
      <c r="N76"/>
      <c r="O76"/>
      <c r="P76" s="72"/>
      <c r="Q76" s="72"/>
      <c r="R76" s="72"/>
      <c r="S76" s="72"/>
      <c r="T76" s="72"/>
      <c r="U76" s="72"/>
      <c r="V76" s="72"/>
      <c r="W76" s="72"/>
      <c r="X76" s="72"/>
      <c r="Y76" s="72"/>
      <c r="Z76" s="72"/>
      <c r="AA76" s="72"/>
    </row>
    <row r="77" spans="1:32" x14ac:dyDescent="0.35">
      <c r="A77"/>
      <c r="B77" s="97"/>
      <c r="C77"/>
      <c r="D77"/>
      <c r="E77" s="88"/>
      <c r="F77"/>
      <c r="G77"/>
      <c r="H77"/>
      <c r="I77"/>
      <c r="J77"/>
      <c r="K77"/>
      <c r="L77"/>
      <c r="M77"/>
      <c r="N77"/>
      <c r="O77"/>
      <c r="P77" s="72"/>
      <c r="Q77" s="72"/>
      <c r="R77" s="72"/>
      <c r="S77" s="72"/>
      <c r="T77" s="72"/>
      <c r="U77" s="72"/>
      <c r="V77" s="72"/>
      <c r="W77" s="72"/>
      <c r="X77" s="72"/>
      <c r="Y77" s="72"/>
      <c r="Z77" s="72"/>
      <c r="AA77" s="72"/>
    </row>
    <row r="78" spans="1:32" x14ac:dyDescent="0.35">
      <c r="A78"/>
      <c r="B78" s="97"/>
      <c r="C78"/>
      <c r="D78"/>
      <c r="E78" s="88"/>
      <c r="F78"/>
      <c r="G78"/>
      <c r="H78"/>
      <c r="I78"/>
      <c r="J78"/>
      <c r="K78"/>
      <c r="L78"/>
      <c r="M78"/>
      <c r="N78"/>
      <c r="O78"/>
      <c r="P78" s="72"/>
      <c r="Q78" s="72"/>
      <c r="R78" s="72"/>
      <c r="S78" s="72"/>
      <c r="T78" s="72"/>
      <c r="U78" s="72"/>
      <c r="V78" s="72"/>
      <c r="W78" s="72"/>
      <c r="X78" s="72"/>
      <c r="Y78" s="72"/>
      <c r="Z78" s="72"/>
      <c r="AA78" s="72"/>
    </row>
    <row r="79" spans="1:32" x14ac:dyDescent="0.35">
      <c r="A79"/>
      <c r="B79" s="97"/>
      <c r="C79"/>
      <c r="D79"/>
      <c r="E79" s="88"/>
      <c r="F79"/>
      <c r="G79"/>
      <c r="H79"/>
      <c r="I79"/>
      <c r="J79"/>
      <c r="K79"/>
      <c r="L79"/>
      <c r="M79"/>
      <c r="N79"/>
      <c r="O79"/>
      <c r="P79" s="72"/>
      <c r="Q79" s="72"/>
      <c r="R79" s="72"/>
      <c r="S79" s="72"/>
      <c r="T79" s="72"/>
      <c r="U79" s="72"/>
      <c r="V79" s="72"/>
      <c r="W79" s="72"/>
      <c r="X79" s="72"/>
      <c r="Y79" s="72"/>
      <c r="Z79" s="72"/>
      <c r="AA79" s="72"/>
    </row>
    <row r="80" spans="1:32" x14ac:dyDescent="0.35">
      <c r="A80"/>
      <c r="B80" s="97"/>
      <c r="C80"/>
      <c r="D80"/>
      <c r="E80" s="88"/>
      <c r="F80"/>
      <c r="G80"/>
      <c r="H80"/>
      <c r="I80"/>
      <c r="J80"/>
      <c r="K80"/>
      <c r="L80"/>
      <c r="M80"/>
      <c r="N80"/>
      <c r="O80"/>
      <c r="P80" s="72"/>
      <c r="Q80" s="72"/>
      <c r="R80" s="72"/>
      <c r="S80" s="72"/>
      <c r="T80" s="72"/>
      <c r="U80" s="72"/>
      <c r="V80" s="72"/>
      <c r="W80" s="72"/>
      <c r="X80" s="72"/>
      <c r="Y80" s="72"/>
      <c r="Z80" s="72"/>
      <c r="AA80" s="72"/>
    </row>
    <row r="81" spans="1:27" x14ac:dyDescent="0.35">
      <c r="A81"/>
      <c r="B81" s="97"/>
      <c r="C81"/>
      <c r="D81"/>
      <c r="E81" s="88"/>
      <c r="F81"/>
      <c r="G81"/>
      <c r="H81"/>
      <c r="I81"/>
      <c r="J81"/>
      <c r="K81"/>
      <c r="L81"/>
      <c r="M81"/>
      <c r="N81"/>
      <c r="O81"/>
      <c r="P81" s="72"/>
      <c r="Q81" s="72"/>
      <c r="R81" s="72"/>
      <c r="S81" s="72"/>
      <c r="T81" s="72"/>
      <c r="U81" s="72"/>
      <c r="V81" s="72"/>
      <c r="W81" s="72"/>
      <c r="X81" s="72"/>
      <c r="Y81" s="72"/>
      <c r="Z81" s="72"/>
      <c r="AA81" s="72"/>
    </row>
    <row r="82" spans="1:27" x14ac:dyDescent="0.35">
      <c r="A82"/>
      <c r="B82" s="97"/>
      <c r="C82"/>
      <c r="D82"/>
      <c r="E82" s="88"/>
      <c r="F82"/>
      <c r="G82"/>
      <c r="H82"/>
      <c r="I82"/>
      <c r="J82"/>
      <c r="K82"/>
      <c r="L82"/>
      <c r="M82"/>
      <c r="N82"/>
      <c r="O82"/>
      <c r="P82" s="72"/>
      <c r="Q82" s="72"/>
      <c r="R82" s="72"/>
      <c r="S82" s="72"/>
      <c r="T82" s="72"/>
      <c r="U82" s="72"/>
      <c r="V82" s="72"/>
      <c r="W82" s="72"/>
      <c r="X82" s="72"/>
      <c r="Y82" s="72"/>
      <c r="Z82" s="72"/>
      <c r="AA82" s="72"/>
    </row>
    <row r="83" spans="1:27" x14ac:dyDescent="0.35">
      <c r="A83"/>
      <c r="B83" s="97"/>
      <c r="C83"/>
      <c r="D83"/>
      <c r="E83" s="88"/>
      <c r="F83"/>
      <c r="G83"/>
      <c r="H83"/>
      <c r="I83"/>
      <c r="J83"/>
      <c r="K83"/>
      <c r="L83"/>
      <c r="M83"/>
      <c r="N83"/>
      <c r="O83"/>
      <c r="P83" s="72"/>
      <c r="Q83" s="72"/>
      <c r="R83" s="72"/>
      <c r="S83" s="72"/>
      <c r="T83" s="72"/>
      <c r="U83" s="72"/>
      <c r="V83" s="72"/>
      <c r="W83" s="72"/>
      <c r="X83" s="72"/>
      <c r="Y83" s="72"/>
      <c r="Z83" s="72"/>
      <c r="AA83" s="72"/>
    </row>
    <row r="84" spans="1:27" x14ac:dyDescent="0.35">
      <c r="A84"/>
      <c r="B84" s="97"/>
      <c r="C84"/>
      <c r="D84"/>
      <c r="E84" s="88"/>
      <c r="F84"/>
      <c r="G84"/>
      <c r="H84"/>
      <c r="I84"/>
      <c r="J84"/>
      <c r="K84"/>
      <c r="L84"/>
      <c r="M84"/>
      <c r="N84"/>
      <c r="O84"/>
      <c r="P84" s="72"/>
      <c r="Q84" s="72"/>
      <c r="R84" s="72"/>
      <c r="S84" s="72"/>
      <c r="T84" s="72"/>
      <c r="U84" s="72"/>
      <c r="V84" s="72"/>
      <c r="W84" s="72"/>
      <c r="X84" s="72"/>
      <c r="Y84" s="72"/>
      <c r="Z84" s="72"/>
      <c r="AA84" s="72"/>
    </row>
    <row r="85" spans="1:27" x14ac:dyDescent="0.35">
      <c r="A85"/>
      <c r="B85" s="97"/>
      <c r="C85"/>
      <c r="D85"/>
      <c r="E85" s="88"/>
      <c r="F85"/>
      <c r="G85"/>
      <c r="H85"/>
      <c r="I85"/>
      <c r="J85"/>
      <c r="K85"/>
      <c r="L85"/>
      <c r="M85"/>
      <c r="N85"/>
      <c r="O85"/>
      <c r="P85" s="72"/>
      <c r="Q85" s="72"/>
      <c r="R85" s="72"/>
      <c r="S85" s="72"/>
      <c r="T85" s="72"/>
      <c r="U85" s="72"/>
      <c r="V85" s="72"/>
      <c r="W85" s="72"/>
      <c r="X85" s="72"/>
      <c r="Y85" s="72"/>
      <c r="Z85" s="72"/>
      <c r="AA85" s="72"/>
    </row>
    <row r="86" spans="1:27" x14ac:dyDescent="0.35">
      <c r="A86"/>
      <c r="B86" s="97"/>
      <c r="C86"/>
      <c r="D86"/>
      <c r="E86" s="88"/>
      <c r="F86"/>
      <c r="G86"/>
      <c r="H86"/>
      <c r="I86"/>
      <c r="J86"/>
      <c r="K86"/>
      <c r="L86"/>
      <c r="M86"/>
      <c r="N86"/>
      <c r="O86"/>
      <c r="P86" s="72"/>
      <c r="Q86" s="72"/>
      <c r="R86" s="72"/>
      <c r="S86" s="72"/>
      <c r="T86" s="72"/>
      <c r="U86" s="72"/>
      <c r="V86" s="72"/>
      <c r="W86" s="72"/>
      <c r="X86" s="72"/>
      <c r="Y86" s="72"/>
      <c r="Z86" s="72"/>
      <c r="AA86" s="72"/>
    </row>
    <row r="87" spans="1:27" x14ac:dyDescent="0.35">
      <c r="A87"/>
      <c r="B87" s="97"/>
      <c r="C87"/>
      <c r="D87"/>
      <c r="E87" s="88"/>
      <c r="F87"/>
      <c r="G87"/>
      <c r="H87"/>
      <c r="I87"/>
      <c r="J87"/>
      <c r="K87"/>
      <c r="L87"/>
      <c r="M87"/>
      <c r="N87"/>
      <c r="O87"/>
      <c r="P87" s="72"/>
      <c r="Q87" s="72"/>
      <c r="R87" s="72"/>
      <c r="S87" s="72"/>
      <c r="T87" s="72"/>
      <c r="U87" s="72"/>
      <c r="V87" s="72"/>
      <c r="W87" s="72"/>
      <c r="X87" s="72"/>
      <c r="Y87" s="72"/>
      <c r="Z87" s="72"/>
      <c r="AA87" s="72"/>
    </row>
    <row r="88" spans="1:27" x14ac:dyDescent="0.35">
      <c r="A88"/>
      <c r="B88" s="97"/>
      <c r="C88"/>
      <c r="D88"/>
      <c r="E88" s="88"/>
      <c r="F88"/>
      <c r="G88"/>
      <c r="H88"/>
      <c r="I88"/>
      <c r="J88"/>
      <c r="K88"/>
      <c r="L88"/>
      <c r="M88"/>
      <c r="N88"/>
      <c r="O88"/>
      <c r="P88" s="72"/>
      <c r="Q88" s="72"/>
      <c r="R88" s="72"/>
      <c r="S88" s="72"/>
      <c r="T88" s="72"/>
      <c r="U88" s="72"/>
      <c r="V88" s="72"/>
      <c r="W88" s="72"/>
      <c r="X88" s="72"/>
      <c r="Y88" s="72"/>
      <c r="Z88" s="72"/>
      <c r="AA88" s="72"/>
    </row>
    <row r="89" spans="1:27" x14ac:dyDescent="0.35">
      <c r="A89"/>
      <c r="B89" s="97"/>
      <c r="C89"/>
      <c r="D89"/>
      <c r="E89" s="88"/>
      <c r="F89"/>
      <c r="G89"/>
      <c r="H89"/>
      <c r="I89"/>
      <c r="J89"/>
      <c r="K89"/>
      <c r="L89"/>
      <c r="M89"/>
      <c r="N89"/>
      <c r="O89"/>
      <c r="P89" s="72"/>
      <c r="Q89" s="72"/>
      <c r="R89" s="72"/>
      <c r="S89" s="72"/>
      <c r="T89" s="72"/>
      <c r="U89" s="72"/>
      <c r="V89" s="72"/>
      <c r="W89" s="72"/>
      <c r="X89" s="72"/>
      <c r="Y89" s="72"/>
      <c r="Z89" s="72"/>
      <c r="AA89" s="72"/>
    </row>
    <row r="90" spans="1:27" x14ac:dyDescent="0.35">
      <c r="A90"/>
      <c r="B90" s="97"/>
      <c r="C90"/>
      <c r="D90"/>
      <c r="E90" s="88"/>
      <c r="F90"/>
      <c r="G90"/>
      <c r="H90"/>
      <c r="I90"/>
      <c r="J90"/>
      <c r="K90"/>
      <c r="L90"/>
      <c r="M90"/>
      <c r="N90"/>
      <c r="O90"/>
      <c r="P90" s="72"/>
      <c r="Q90" s="72"/>
      <c r="R90" s="72"/>
      <c r="S90" s="72"/>
      <c r="T90" s="72"/>
      <c r="U90" s="72"/>
      <c r="V90" s="72"/>
      <c r="W90" s="72"/>
      <c r="X90" s="72"/>
      <c r="Y90" s="72"/>
      <c r="Z90" s="72"/>
      <c r="AA90" s="72"/>
    </row>
    <row r="91" spans="1:27" x14ac:dyDescent="0.35">
      <c r="A91"/>
      <c r="B91" s="97"/>
      <c r="C91"/>
      <c r="D91"/>
      <c r="E91" s="88"/>
      <c r="F91"/>
      <c r="G91"/>
      <c r="H91"/>
      <c r="I91"/>
      <c r="J91"/>
      <c r="K91"/>
      <c r="L91"/>
      <c r="M91"/>
      <c r="N91"/>
      <c r="O91"/>
      <c r="P91" s="72"/>
      <c r="Q91" s="72"/>
      <c r="R91" s="72"/>
      <c r="S91" s="72"/>
      <c r="T91" s="72"/>
      <c r="U91" s="72"/>
      <c r="V91" s="72"/>
      <c r="W91" s="72"/>
      <c r="X91" s="72"/>
      <c r="Y91" s="72"/>
      <c r="Z91" s="72"/>
      <c r="AA91" s="72"/>
    </row>
    <row r="92" spans="1:27" x14ac:dyDescent="0.35">
      <c r="A92"/>
      <c r="B92" s="97"/>
      <c r="C92"/>
      <c r="D92"/>
      <c r="E92" s="88"/>
      <c r="F92"/>
      <c r="G92"/>
      <c r="H92"/>
      <c r="I92"/>
      <c r="J92"/>
      <c r="K92"/>
      <c r="L92"/>
      <c r="M92"/>
      <c r="N92"/>
      <c r="O92"/>
      <c r="P92" s="72"/>
      <c r="Q92" s="72"/>
      <c r="R92" s="72"/>
      <c r="S92" s="72"/>
      <c r="T92" s="72"/>
      <c r="U92" s="72"/>
      <c r="V92" s="72"/>
      <c r="W92" s="72"/>
      <c r="X92" s="72"/>
      <c r="Y92" s="72"/>
      <c r="Z92" s="72"/>
      <c r="AA92" s="72"/>
    </row>
    <row r="93" spans="1:27" x14ac:dyDescent="0.35">
      <c r="A93"/>
      <c r="B93" s="97"/>
      <c r="C93"/>
      <c r="D93"/>
      <c r="E93" s="88"/>
      <c r="F93"/>
      <c r="G93"/>
      <c r="H93"/>
      <c r="I93"/>
      <c r="J93"/>
      <c r="K93"/>
      <c r="L93"/>
      <c r="M93"/>
      <c r="N93"/>
      <c r="O93"/>
      <c r="P93" s="72"/>
      <c r="Q93" s="72"/>
      <c r="R93" s="72"/>
      <c r="S93" s="72"/>
      <c r="T93" s="72"/>
      <c r="U93" s="72"/>
      <c r="V93" s="72"/>
      <c r="W93" s="72"/>
      <c r="X93" s="72"/>
      <c r="Y93" s="72"/>
      <c r="Z93" s="72"/>
      <c r="AA93" s="72"/>
    </row>
    <row r="94" spans="1:27" x14ac:dyDescent="0.35">
      <c r="A94"/>
      <c r="B94" s="97"/>
      <c r="C94"/>
      <c r="D94"/>
      <c r="E94" s="88"/>
      <c r="F94"/>
      <c r="G94"/>
      <c r="H94"/>
      <c r="I94"/>
      <c r="J94"/>
      <c r="K94"/>
      <c r="L94"/>
      <c r="M94"/>
      <c r="N94"/>
      <c r="O94"/>
      <c r="P94" s="72"/>
      <c r="Q94" s="72"/>
      <c r="R94" s="72"/>
      <c r="S94" s="72"/>
      <c r="T94" s="72"/>
      <c r="U94" s="72"/>
      <c r="V94" s="72"/>
      <c r="W94" s="72"/>
      <c r="X94" s="72"/>
      <c r="Y94" s="72"/>
      <c r="Z94" s="72"/>
      <c r="AA94" s="72"/>
    </row>
    <row r="95" spans="1:27" x14ac:dyDescent="0.35">
      <c r="A95"/>
      <c r="B95" s="97"/>
      <c r="C95"/>
      <c r="D95"/>
      <c r="E95" s="88"/>
      <c r="F95"/>
      <c r="G95"/>
      <c r="H95"/>
      <c r="I95"/>
      <c r="J95"/>
      <c r="K95"/>
      <c r="L95"/>
      <c r="M95"/>
      <c r="N95"/>
      <c r="O95"/>
      <c r="P95" s="72"/>
      <c r="Q95" s="72"/>
      <c r="R95" s="72"/>
      <c r="S95" s="72"/>
      <c r="T95" s="72"/>
      <c r="U95" s="72"/>
      <c r="V95" s="72"/>
      <c r="W95" s="72"/>
      <c r="X95" s="72"/>
      <c r="Y95" s="72"/>
      <c r="Z95" s="72"/>
      <c r="AA95" s="72"/>
    </row>
    <row r="96" spans="1:27" x14ac:dyDescent="0.35">
      <c r="A96"/>
      <c r="B96" s="97"/>
      <c r="C96"/>
      <c r="D96"/>
      <c r="E96" s="88"/>
      <c r="F96"/>
      <c r="G96"/>
      <c r="H96"/>
      <c r="I96"/>
      <c r="J96"/>
      <c r="K96"/>
      <c r="L96"/>
      <c r="M96"/>
      <c r="N96"/>
      <c r="O96"/>
      <c r="P96" s="72"/>
      <c r="Q96" s="72"/>
      <c r="R96" s="72"/>
      <c r="S96" s="72"/>
      <c r="T96" s="72"/>
      <c r="U96" s="72"/>
      <c r="V96" s="72"/>
      <c r="W96" s="72"/>
      <c r="X96" s="72"/>
      <c r="Y96" s="72"/>
      <c r="Z96" s="72"/>
      <c r="AA96" s="72"/>
    </row>
    <row r="97" spans="1:27" x14ac:dyDescent="0.35">
      <c r="A97"/>
      <c r="B97" s="97"/>
      <c r="C97"/>
      <c r="D97"/>
      <c r="E97" s="88"/>
      <c r="F97"/>
      <c r="G97"/>
      <c r="H97"/>
      <c r="I97"/>
      <c r="J97"/>
      <c r="K97"/>
      <c r="L97"/>
      <c r="M97"/>
      <c r="N97"/>
      <c r="O97"/>
      <c r="P97" s="72"/>
      <c r="Q97" s="72"/>
      <c r="R97" s="72"/>
      <c r="S97" s="72"/>
      <c r="T97" s="72"/>
      <c r="U97" s="72"/>
      <c r="V97" s="72"/>
      <c r="W97" s="72"/>
      <c r="X97" s="72"/>
      <c r="Y97" s="72"/>
      <c r="Z97" s="72"/>
      <c r="AA97" s="72"/>
    </row>
    <row r="98" spans="1:27" x14ac:dyDescent="0.35">
      <c r="A98"/>
      <c r="B98" s="97"/>
      <c r="C98"/>
      <c r="D98"/>
      <c r="E98" s="88"/>
      <c r="F98"/>
      <c r="G98"/>
      <c r="H98"/>
      <c r="I98"/>
      <c r="J98"/>
      <c r="K98"/>
      <c r="L98"/>
      <c r="M98"/>
      <c r="N98"/>
      <c r="O98"/>
      <c r="P98" s="72"/>
      <c r="Q98" s="72"/>
      <c r="R98" s="72"/>
      <c r="S98" s="72"/>
      <c r="T98" s="72"/>
      <c r="U98" s="72"/>
      <c r="V98" s="72"/>
      <c r="W98" s="72"/>
      <c r="X98" s="72"/>
      <c r="Y98" s="72"/>
      <c r="Z98" s="72"/>
      <c r="AA98" s="72"/>
    </row>
    <row r="99" spans="1:27" x14ac:dyDescent="0.35">
      <c r="A99"/>
      <c r="B99" s="97"/>
      <c r="C99"/>
      <c r="D99"/>
      <c r="E99" s="88"/>
      <c r="F99"/>
      <c r="G99"/>
      <c r="H99"/>
      <c r="I99"/>
      <c r="J99"/>
      <c r="K99"/>
      <c r="L99"/>
      <c r="M99"/>
      <c r="N99"/>
      <c r="O99"/>
      <c r="P99" s="72"/>
      <c r="Q99" s="72"/>
      <c r="R99" s="72"/>
      <c r="S99" s="72"/>
      <c r="T99" s="72"/>
      <c r="U99" s="72"/>
      <c r="V99" s="72"/>
      <c r="W99" s="72"/>
      <c r="X99" s="72"/>
      <c r="Y99" s="72"/>
      <c r="Z99" s="72"/>
      <c r="AA99" s="72"/>
    </row>
    <row r="100" spans="1:27" x14ac:dyDescent="0.35">
      <c r="A100"/>
      <c r="B100" s="97"/>
      <c r="C100"/>
      <c r="D100"/>
      <c r="E100" s="88"/>
      <c r="F100"/>
      <c r="G100"/>
      <c r="H100"/>
      <c r="I100"/>
      <c r="J100"/>
      <c r="K100"/>
      <c r="L100"/>
      <c r="M100"/>
      <c r="N100"/>
      <c r="O100"/>
      <c r="P100" s="72"/>
      <c r="Q100" s="72"/>
      <c r="R100" s="72"/>
      <c r="S100" s="72"/>
      <c r="T100" s="72"/>
      <c r="U100" s="72"/>
      <c r="V100" s="72"/>
      <c r="W100" s="72"/>
      <c r="X100" s="72"/>
      <c r="Y100" s="72"/>
      <c r="Z100" s="72"/>
      <c r="AA100" s="72"/>
    </row>
    <row r="101" spans="1:27" x14ac:dyDescent="0.35">
      <c r="A101"/>
      <c r="B101" s="97"/>
      <c r="C101"/>
      <c r="D101"/>
      <c r="E101" s="88"/>
      <c r="F101"/>
      <c r="G101"/>
      <c r="H101"/>
      <c r="I101"/>
      <c r="J101"/>
      <c r="K101"/>
      <c r="L101"/>
      <c r="M101"/>
      <c r="N101"/>
      <c r="O101"/>
      <c r="P101" s="72"/>
      <c r="Q101" s="72"/>
      <c r="R101" s="72"/>
      <c r="S101" s="72"/>
      <c r="T101" s="72"/>
      <c r="U101" s="72"/>
      <c r="V101" s="72"/>
      <c r="W101" s="72"/>
      <c r="X101" s="72"/>
      <c r="Y101" s="72"/>
      <c r="Z101" s="72"/>
      <c r="AA101" s="72"/>
    </row>
    <row r="102" spans="1:27" x14ac:dyDescent="0.35">
      <c r="A102"/>
      <c r="B102" s="97"/>
      <c r="C102"/>
      <c r="D102"/>
      <c r="E102" s="88"/>
      <c r="F102"/>
      <c r="G102"/>
      <c r="H102"/>
      <c r="I102"/>
      <c r="J102"/>
      <c r="K102"/>
      <c r="L102"/>
      <c r="M102"/>
      <c r="N102"/>
      <c r="O102"/>
      <c r="P102" s="72"/>
      <c r="Q102" s="72"/>
      <c r="R102" s="72"/>
      <c r="S102" s="72"/>
      <c r="T102" s="72"/>
      <c r="U102" s="72"/>
      <c r="V102" s="72"/>
      <c r="W102" s="72"/>
      <c r="X102" s="72"/>
      <c r="Y102" s="72"/>
      <c r="Z102" s="72"/>
      <c r="AA102" s="72"/>
    </row>
    <row r="103" spans="1:27" x14ac:dyDescent="0.35">
      <c r="A103"/>
      <c r="B103" s="97"/>
      <c r="C103"/>
      <c r="D103"/>
      <c r="E103" s="88"/>
      <c r="F103"/>
      <c r="G103"/>
      <c r="H103"/>
      <c r="I103"/>
      <c r="J103"/>
      <c r="K103"/>
      <c r="L103"/>
      <c r="M103"/>
      <c r="N103"/>
      <c r="O103"/>
      <c r="P103" s="72"/>
      <c r="Q103" s="72"/>
      <c r="R103" s="72"/>
      <c r="S103" s="72"/>
      <c r="T103" s="72"/>
      <c r="U103" s="72"/>
      <c r="V103" s="72"/>
      <c r="W103" s="72"/>
      <c r="X103" s="72"/>
      <c r="Y103" s="72"/>
      <c r="Z103" s="72"/>
      <c r="AA103" s="72"/>
    </row>
    <row r="104" spans="1:27" x14ac:dyDescent="0.35">
      <c r="A104"/>
      <c r="B104" s="97"/>
      <c r="C104"/>
      <c r="D104"/>
      <c r="E104" s="88"/>
      <c r="F104"/>
      <c r="G104"/>
      <c r="H104"/>
      <c r="I104"/>
      <c r="J104"/>
      <c r="K104"/>
      <c r="L104"/>
      <c r="M104"/>
      <c r="N104"/>
      <c r="O104"/>
      <c r="P104" s="72"/>
      <c r="Q104" s="72"/>
      <c r="R104" s="72"/>
      <c r="S104" s="72"/>
      <c r="T104" s="72"/>
      <c r="U104" s="72"/>
      <c r="V104" s="72"/>
      <c r="W104" s="72"/>
      <c r="X104" s="72"/>
      <c r="Y104" s="72"/>
      <c r="Z104" s="72"/>
      <c r="AA104" s="72"/>
    </row>
    <row r="105" spans="1:27" x14ac:dyDescent="0.35">
      <c r="A105"/>
      <c r="B105" s="97"/>
      <c r="C105"/>
      <c r="D105"/>
      <c r="E105" s="88"/>
      <c r="F105"/>
      <c r="G105"/>
      <c r="H105"/>
      <c r="I105"/>
      <c r="J105"/>
      <c r="K105"/>
      <c r="L105"/>
      <c r="M105"/>
      <c r="N105"/>
      <c r="O105"/>
      <c r="P105" s="72"/>
      <c r="Q105" s="72"/>
      <c r="R105" s="72"/>
      <c r="S105" s="72"/>
      <c r="T105" s="72"/>
      <c r="U105" s="72"/>
      <c r="V105" s="72"/>
      <c r="W105" s="72"/>
      <c r="X105" s="72"/>
      <c r="Y105" s="72"/>
      <c r="Z105" s="72"/>
      <c r="AA105" s="72"/>
    </row>
    <row r="106" spans="1:27" x14ac:dyDescent="0.35">
      <c r="A106"/>
      <c r="B106" s="97"/>
      <c r="C106"/>
      <c r="D106"/>
      <c r="E106" s="88"/>
      <c r="F106"/>
      <c r="G106"/>
      <c r="H106"/>
      <c r="I106"/>
      <c r="J106"/>
      <c r="K106"/>
      <c r="L106"/>
      <c r="M106"/>
      <c r="N106"/>
      <c r="O106"/>
      <c r="P106" s="72"/>
      <c r="Q106" s="72"/>
      <c r="R106" s="72"/>
      <c r="S106" s="72"/>
      <c r="T106" s="72"/>
      <c r="U106" s="72"/>
      <c r="V106" s="72"/>
      <c r="W106" s="72"/>
      <c r="X106" s="72"/>
      <c r="Y106" s="72"/>
      <c r="Z106" s="72"/>
      <c r="AA106" s="72"/>
    </row>
    <row r="107" spans="1:27" x14ac:dyDescent="0.35">
      <c r="A107"/>
      <c r="B107" s="97"/>
      <c r="C107"/>
      <c r="D107"/>
      <c r="E107" s="88"/>
      <c r="F107"/>
      <c r="G107"/>
      <c r="H107"/>
      <c r="I107"/>
      <c r="J107"/>
      <c r="K107"/>
      <c r="L107"/>
      <c r="M107"/>
      <c r="N107"/>
      <c r="O107"/>
      <c r="P107" s="72"/>
      <c r="Q107" s="72"/>
      <c r="R107" s="72"/>
      <c r="S107" s="72"/>
      <c r="T107" s="72"/>
      <c r="U107" s="72"/>
      <c r="V107" s="72"/>
      <c r="W107" s="72"/>
      <c r="X107" s="72"/>
      <c r="Y107" s="72"/>
      <c r="Z107" s="72"/>
      <c r="AA107" s="72"/>
    </row>
    <row r="108" spans="1:27" x14ac:dyDescent="0.35">
      <c r="A108"/>
      <c r="B108" s="97"/>
      <c r="C108"/>
      <c r="D108"/>
      <c r="E108" s="88"/>
      <c r="F108"/>
      <c r="G108"/>
      <c r="H108"/>
      <c r="I108"/>
      <c r="J108"/>
      <c r="K108"/>
      <c r="L108"/>
      <c r="M108"/>
      <c r="N108"/>
      <c r="O108"/>
      <c r="P108" s="72"/>
      <c r="Q108" s="72"/>
      <c r="R108" s="72"/>
      <c r="S108" s="72"/>
      <c r="T108" s="72"/>
      <c r="U108" s="72"/>
      <c r="V108" s="72"/>
      <c r="W108" s="72"/>
      <c r="X108" s="72"/>
      <c r="Y108" s="72"/>
      <c r="Z108" s="72"/>
      <c r="AA108" s="72"/>
    </row>
    <row r="109" spans="1:27" x14ac:dyDescent="0.35">
      <c r="A109"/>
      <c r="B109" s="97"/>
      <c r="C109"/>
      <c r="D109"/>
      <c r="E109" s="88"/>
      <c r="F109"/>
      <c r="G109"/>
      <c r="H109"/>
      <c r="I109"/>
      <c r="J109"/>
      <c r="K109"/>
      <c r="L109"/>
      <c r="M109"/>
      <c r="N109"/>
      <c r="O109"/>
      <c r="P109" s="72"/>
      <c r="Q109" s="72"/>
      <c r="R109" s="72"/>
      <c r="S109" s="72"/>
      <c r="T109" s="72"/>
      <c r="U109" s="72"/>
      <c r="V109" s="72"/>
      <c r="W109" s="72"/>
      <c r="X109" s="72"/>
      <c r="Y109" s="72"/>
      <c r="Z109" s="72"/>
      <c r="AA109" s="72"/>
    </row>
    <row r="110" spans="1:27" x14ac:dyDescent="0.35">
      <c r="A110"/>
      <c r="B110" s="97"/>
      <c r="C110"/>
      <c r="D110"/>
      <c r="E110" s="88"/>
      <c r="F110"/>
      <c r="G110"/>
      <c r="H110"/>
      <c r="I110"/>
      <c r="J110"/>
      <c r="K110"/>
      <c r="L110"/>
      <c r="M110"/>
      <c r="N110"/>
      <c r="O110"/>
      <c r="P110" s="72"/>
      <c r="Q110" s="72"/>
      <c r="R110" s="72"/>
      <c r="S110" s="72"/>
      <c r="T110" s="72"/>
      <c r="U110" s="72"/>
      <c r="V110" s="72"/>
      <c r="W110" s="72"/>
      <c r="X110" s="72"/>
      <c r="Y110" s="72"/>
      <c r="Z110" s="72"/>
      <c r="AA110" s="72"/>
    </row>
    <row r="111" spans="1:27" x14ac:dyDescent="0.35">
      <c r="A111"/>
      <c r="B111" s="97"/>
      <c r="C111"/>
      <c r="D111"/>
      <c r="E111" s="88"/>
      <c r="F111"/>
      <c r="G111"/>
      <c r="H111"/>
      <c r="I111"/>
      <c r="J111"/>
      <c r="K111"/>
      <c r="L111"/>
      <c r="M111"/>
      <c r="N111"/>
      <c r="O111"/>
      <c r="P111" s="72"/>
      <c r="Q111" s="72"/>
      <c r="R111" s="72"/>
      <c r="S111" s="72"/>
      <c r="T111" s="72"/>
      <c r="U111" s="72"/>
      <c r="V111" s="72"/>
      <c r="W111" s="72"/>
      <c r="X111" s="72"/>
      <c r="Y111" s="72"/>
      <c r="Z111" s="72"/>
      <c r="AA111" s="72"/>
    </row>
    <row r="112" spans="1:27" x14ac:dyDescent="0.35">
      <c r="A112"/>
      <c r="B112" s="97"/>
      <c r="C112"/>
      <c r="D112"/>
      <c r="E112" s="88"/>
      <c r="F112"/>
      <c r="G112"/>
      <c r="H112"/>
      <c r="I112"/>
      <c r="J112"/>
      <c r="K112"/>
      <c r="L112"/>
      <c r="M112"/>
      <c r="N112"/>
      <c r="O112"/>
      <c r="P112" s="72"/>
      <c r="Q112" s="72"/>
      <c r="R112" s="72"/>
      <c r="S112" s="72"/>
      <c r="T112" s="72"/>
      <c r="U112" s="72"/>
      <c r="V112" s="72"/>
      <c r="W112" s="72"/>
      <c r="X112" s="72"/>
      <c r="Y112" s="72"/>
      <c r="Z112" s="72"/>
      <c r="AA112" s="72"/>
    </row>
    <row r="113" spans="1:27" x14ac:dyDescent="0.35">
      <c r="A113"/>
      <c r="B113" s="97"/>
      <c r="C113"/>
      <c r="D113"/>
      <c r="E113" s="88"/>
      <c r="F113"/>
      <c r="G113"/>
      <c r="H113"/>
      <c r="I113"/>
      <c r="J113"/>
      <c r="K113"/>
      <c r="L113"/>
      <c r="M113"/>
      <c r="N113"/>
      <c r="O113"/>
      <c r="P113" s="72"/>
      <c r="Q113" s="72"/>
      <c r="R113" s="72"/>
      <c r="S113" s="72"/>
      <c r="T113" s="72"/>
      <c r="U113" s="72"/>
      <c r="V113" s="72"/>
      <c r="W113" s="72"/>
      <c r="X113" s="72"/>
      <c r="Y113" s="72"/>
      <c r="Z113" s="72"/>
      <c r="AA113" s="72"/>
    </row>
    <row r="114" spans="1:27" x14ac:dyDescent="0.35">
      <c r="A114"/>
      <c r="B114" s="97"/>
      <c r="C114"/>
      <c r="D114"/>
      <c r="E114" s="88"/>
      <c r="F114"/>
      <c r="G114"/>
      <c r="H114"/>
      <c r="I114"/>
      <c r="J114"/>
      <c r="K114"/>
      <c r="L114"/>
      <c r="M114"/>
      <c r="N114"/>
      <c r="O114"/>
      <c r="P114" s="72"/>
      <c r="Q114" s="72"/>
      <c r="R114" s="72"/>
      <c r="S114" s="72"/>
      <c r="T114" s="72"/>
      <c r="U114" s="72"/>
      <c r="V114" s="72"/>
      <c r="W114" s="72"/>
      <c r="X114" s="72"/>
      <c r="Y114" s="72"/>
      <c r="Z114" s="72"/>
      <c r="AA114" s="72"/>
    </row>
    <row r="115" spans="1:27" x14ac:dyDescent="0.35">
      <c r="A115"/>
      <c r="B115" s="97"/>
      <c r="C115"/>
      <c r="D115"/>
      <c r="E115" s="88"/>
      <c r="F115"/>
      <c r="G115"/>
      <c r="H115"/>
      <c r="I115"/>
      <c r="J115"/>
      <c r="K115"/>
      <c r="L115"/>
      <c r="M115"/>
      <c r="N115"/>
      <c r="O115"/>
      <c r="P115" s="72"/>
      <c r="Q115" s="72"/>
      <c r="R115" s="72"/>
      <c r="S115" s="72"/>
      <c r="T115" s="72"/>
      <c r="U115" s="72"/>
      <c r="V115" s="72"/>
      <c r="W115" s="72"/>
      <c r="X115" s="72"/>
      <c r="Y115" s="72"/>
      <c r="Z115" s="72"/>
      <c r="AA115" s="72"/>
    </row>
    <row r="116" spans="1:27" x14ac:dyDescent="0.35">
      <c r="A116"/>
      <c r="B116" s="97"/>
      <c r="C116"/>
      <c r="D116"/>
      <c r="E116" s="88"/>
      <c r="F116"/>
      <c r="G116"/>
      <c r="H116"/>
      <c r="I116"/>
      <c r="J116"/>
      <c r="K116"/>
      <c r="L116"/>
      <c r="M116"/>
      <c r="N116"/>
      <c r="O116"/>
      <c r="P116" s="72"/>
      <c r="Q116" s="72"/>
      <c r="R116" s="72"/>
      <c r="S116" s="72"/>
      <c r="T116" s="72"/>
      <c r="U116" s="72"/>
      <c r="V116" s="72"/>
      <c r="W116" s="72"/>
      <c r="X116" s="72"/>
      <c r="Y116" s="72"/>
      <c r="Z116" s="72"/>
      <c r="AA116" s="72"/>
    </row>
    <row r="117" spans="1:27" x14ac:dyDescent="0.35">
      <c r="A117"/>
      <c r="B117" s="97"/>
      <c r="C117"/>
      <c r="D117"/>
      <c r="E117" s="88"/>
      <c r="F117"/>
      <c r="G117"/>
      <c r="H117"/>
      <c r="I117"/>
      <c r="J117"/>
      <c r="K117"/>
      <c r="L117"/>
      <c r="M117"/>
      <c r="N117"/>
      <c r="O117"/>
      <c r="P117" s="72"/>
      <c r="Q117" s="72"/>
      <c r="R117" s="72"/>
      <c r="S117" s="72"/>
      <c r="T117" s="72"/>
      <c r="U117" s="72"/>
      <c r="V117" s="72"/>
      <c r="W117" s="72"/>
      <c r="X117" s="72"/>
      <c r="Y117" s="72"/>
      <c r="Z117" s="72"/>
      <c r="AA117" s="72"/>
    </row>
    <row r="118" spans="1:27" x14ac:dyDescent="0.35">
      <c r="A118"/>
      <c r="B118" s="97"/>
      <c r="C118"/>
      <c r="D118"/>
      <c r="E118" s="88"/>
      <c r="F118"/>
      <c r="G118"/>
      <c r="H118"/>
      <c r="I118"/>
      <c r="J118"/>
      <c r="K118"/>
      <c r="L118"/>
      <c r="M118"/>
      <c r="N118"/>
      <c r="O118"/>
      <c r="P118" s="72"/>
      <c r="Q118" s="72"/>
      <c r="R118" s="72"/>
      <c r="S118" s="72"/>
      <c r="T118" s="72"/>
      <c r="U118" s="72"/>
      <c r="V118" s="72"/>
      <c r="W118" s="72"/>
      <c r="X118" s="72"/>
      <c r="Y118" s="72"/>
      <c r="Z118" s="72"/>
      <c r="AA118" s="72"/>
    </row>
    <row r="119" spans="1:27" x14ac:dyDescent="0.35">
      <c r="A119"/>
      <c r="B119" s="97"/>
      <c r="C119"/>
      <c r="D119"/>
      <c r="E119" s="88"/>
      <c r="F119"/>
      <c r="G119"/>
      <c r="H119"/>
      <c r="I119"/>
      <c r="J119"/>
      <c r="K119"/>
      <c r="L119"/>
      <c r="M119"/>
      <c r="N119"/>
      <c r="O119"/>
      <c r="P119" s="72"/>
      <c r="Q119" s="72"/>
      <c r="R119" s="72"/>
      <c r="S119" s="72"/>
      <c r="T119" s="72"/>
      <c r="U119" s="72"/>
      <c r="V119" s="72"/>
      <c r="W119" s="72"/>
      <c r="X119" s="72"/>
      <c r="Y119" s="72"/>
      <c r="Z119" s="72"/>
      <c r="AA119" s="72"/>
    </row>
    <row r="120" spans="1:27" x14ac:dyDescent="0.35">
      <c r="A120"/>
      <c r="B120" s="97"/>
      <c r="C120"/>
      <c r="D120"/>
      <c r="E120" s="88"/>
      <c r="F120"/>
      <c r="G120"/>
      <c r="H120"/>
      <c r="I120"/>
      <c r="J120"/>
      <c r="K120"/>
      <c r="L120"/>
      <c r="M120"/>
      <c r="N120"/>
      <c r="O120"/>
      <c r="P120" s="72"/>
      <c r="Q120" s="72"/>
      <c r="R120" s="72"/>
      <c r="S120" s="72"/>
      <c r="T120" s="72"/>
      <c r="U120" s="72"/>
      <c r="V120" s="72"/>
      <c r="W120" s="72"/>
      <c r="X120" s="72"/>
      <c r="Y120" s="72"/>
      <c r="Z120" s="72"/>
      <c r="AA120" s="72"/>
    </row>
    <row r="121" spans="1:27" x14ac:dyDescent="0.35">
      <c r="A121"/>
      <c r="B121" s="97"/>
      <c r="C121"/>
      <c r="D121"/>
      <c r="E121" s="88"/>
      <c r="F121"/>
      <c r="G121"/>
      <c r="H121"/>
      <c r="I121"/>
      <c r="J121"/>
      <c r="K121"/>
      <c r="L121"/>
      <c r="M121"/>
      <c r="N121"/>
      <c r="O121"/>
      <c r="P121" s="72"/>
      <c r="Q121" s="72"/>
      <c r="R121" s="72"/>
      <c r="S121" s="72"/>
      <c r="T121" s="72"/>
      <c r="U121" s="72"/>
      <c r="V121" s="72"/>
      <c r="W121" s="72"/>
      <c r="X121" s="72"/>
      <c r="Y121" s="72"/>
      <c r="Z121" s="72"/>
      <c r="AA121" s="72"/>
    </row>
    <row r="122" spans="1:27" x14ac:dyDescent="0.35">
      <c r="A122"/>
      <c r="B122" s="97"/>
      <c r="C122"/>
      <c r="D122"/>
      <c r="E122" s="88"/>
      <c r="F122"/>
      <c r="G122"/>
      <c r="H122"/>
      <c r="I122"/>
      <c r="J122"/>
      <c r="K122"/>
      <c r="L122"/>
      <c r="M122"/>
      <c r="N122"/>
      <c r="O122"/>
      <c r="P122" s="72"/>
      <c r="Q122" s="72"/>
      <c r="R122" s="72"/>
      <c r="S122" s="72"/>
      <c r="T122" s="72"/>
      <c r="U122" s="72"/>
      <c r="V122" s="72"/>
      <c r="W122" s="72"/>
      <c r="X122" s="72"/>
      <c r="Y122" s="72"/>
      <c r="Z122" s="72"/>
      <c r="AA122" s="72"/>
    </row>
    <row r="123" spans="1:27" x14ac:dyDescent="0.35">
      <c r="A123"/>
      <c r="B123" s="97"/>
      <c r="C123"/>
      <c r="D123"/>
      <c r="E123" s="88"/>
      <c r="F123"/>
      <c r="G123"/>
      <c r="H123"/>
      <c r="I123"/>
      <c r="J123"/>
      <c r="K123"/>
      <c r="L123"/>
      <c r="M123"/>
      <c r="N123"/>
      <c r="O123"/>
      <c r="P123" s="72"/>
      <c r="Q123" s="72"/>
      <c r="R123" s="72"/>
      <c r="S123" s="72"/>
      <c r="T123" s="72"/>
      <c r="U123" s="72"/>
      <c r="V123" s="72"/>
      <c r="W123" s="72"/>
      <c r="X123" s="72"/>
      <c r="Y123" s="72"/>
      <c r="Z123" s="72"/>
      <c r="AA123" s="72"/>
    </row>
    <row r="124" spans="1:27" x14ac:dyDescent="0.35">
      <c r="A124"/>
      <c r="B124" s="97"/>
      <c r="C124"/>
      <c r="D124"/>
      <c r="E124" s="88"/>
      <c r="F124"/>
      <c r="G124"/>
      <c r="H124"/>
      <c r="I124"/>
      <c r="J124"/>
      <c r="K124"/>
      <c r="L124"/>
      <c r="M124"/>
      <c r="N124"/>
      <c r="O124"/>
      <c r="P124" s="72"/>
      <c r="Q124" s="72"/>
      <c r="R124" s="72"/>
      <c r="S124" s="72"/>
      <c r="T124" s="72"/>
      <c r="U124" s="72"/>
      <c r="V124" s="72"/>
      <c r="W124" s="72"/>
      <c r="X124" s="72"/>
      <c r="Y124" s="72"/>
      <c r="Z124" s="72"/>
      <c r="AA124" s="72"/>
    </row>
    <row r="125" spans="1:27" x14ac:dyDescent="0.35">
      <c r="A125"/>
      <c r="B125" s="97"/>
      <c r="C125"/>
      <c r="D125"/>
      <c r="E125" s="88"/>
      <c r="F125"/>
      <c r="G125"/>
      <c r="H125"/>
      <c r="I125"/>
      <c r="J125"/>
      <c r="K125"/>
      <c r="L125"/>
      <c r="M125"/>
      <c r="N125"/>
      <c r="O125"/>
      <c r="P125" s="72"/>
      <c r="Q125" s="72"/>
      <c r="R125" s="72"/>
      <c r="S125" s="72"/>
      <c r="T125" s="72"/>
      <c r="U125" s="72"/>
      <c r="V125" s="72"/>
      <c r="W125" s="72"/>
      <c r="X125" s="72"/>
      <c r="Y125" s="72"/>
      <c r="Z125" s="72"/>
      <c r="AA125" s="72"/>
    </row>
    <row r="126" spans="1:27" x14ac:dyDescent="0.35">
      <c r="A126"/>
      <c r="B126" s="97"/>
      <c r="C126"/>
      <c r="D126"/>
      <c r="E126" s="88"/>
      <c r="F126"/>
      <c r="G126"/>
      <c r="H126"/>
      <c r="I126"/>
      <c r="J126"/>
      <c r="K126"/>
      <c r="L126"/>
      <c r="M126"/>
      <c r="N126"/>
      <c r="O126"/>
      <c r="P126" s="72"/>
      <c r="Q126" s="72"/>
      <c r="R126" s="72"/>
      <c r="S126" s="72"/>
      <c r="T126" s="72"/>
      <c r="U126" s="72"/>
      <c r="V126" s="72"/>
      <c r="W126" s="72"/>
      <c r="X126" s="72"/>
      <c r="Y126" s="72"/>
      <c r="Z126" s="72"/>
      <c r="AA126" s="72"/>
    </row>
    <row r="127" spans="1:27" x14ac:dyDescent="0.35">
      <c r="A127"/>
      <c r="B127" s="97"/>
      <c r="C127"/>
      <c r="D127"/>
      <c r="E127" s="88"/>
      <c r="F127"/>
      <c r="G127"/>
      <c r="H127"/>
      <c r="I127"/>
      <c r="J127"/>
      <c r="K127"/>
      <c r="L127"/>
      <c r="M127"/>
      <c r="N127"/>
      <c r="O127"/>
      <c r="P127" s="72"/>
      <c r="Q127" s="72"/>
      <c r="R127" s="72"/>
      <c r="S127" s="72"/>
      <c r="T127" s="72"/>
      <c r="U127" s="72"/>
      <c r="V127" s="72"/>
      <c r="W127" s="72"/>
      <c r="X127" s="72"/>
      <c r="Y127" s="72"/>
      <c r="Z127" s="72"/>
      <c r="AA127" s="72"/>
    </row>
    <row r="128" spans="1:27" x14ac:dyDescent="0.35">
      <c r="A128"/>
      <c r="B128" s="97"/>
      <c r="C128"/>
      <c r="D128"/>
      <c r="E128" s="88"/>
      <c r="F128"/>
      <c r="G128"/>
      <c r="H128"/>
      <c r="I128"/>
      <c r="J128"/>
      <c r="K128"/>
      <c r="L128"/>
      <c r="M128"/>
      <c r="N128"/>
      <c r="O128"/>
      <c r="P128" s="72"/>
      <c r="Q128" s="72"/>
      <c r="R128" s="72"/>
      <c r="S128" s="72"/>
      <c r="T128" s="72"/>
      <c r="U128" s="72"/>
      <c r="V128" s="72"/>
      <c r="W128" s="72"/>
      <c r="X128" s="72"/>
      <c r="Y128" s="72"/>
      <c r="Z128" s="72"/>
      <c r="AA128" s="72"/>
    </row>
    <row r="129" spans="1:27" x14ac:dyDescent="0.35">
      <c r="A129"/>
      <c r="B129" s="97"/>
      <c r="C129"/>
      <c r="D129"/>
      <c r="E129" s="88"/>
      <c r="F129"/>
      <c r="G129"/>
      <c r="H129"/>
      <c r="I129"/>
      <c r="J129"/>
      <c r="K129"/>
      <c r="L129"/>
      <c r="M129"/>
      <c r="N129"/>
      <c r="O129"/>
      <c r="P129" s="72"/>
      <c r="Q129" s="72"/>
      <c r="R129" s="72"/>
      <c r="S129" s="72"/>
      <c r="T129" s="72"/>
      <c r="U129" s="72"/>
      <c r="V129" s="72"/>
      <c r="W129" s="72"/>
      <c r="X129" s="72"/>
      <c r="Y129" s="72"/>
      <c r="Z129" s="72"/>
      <c r="AA129" s="72"/>
    </row>
    <row r="130" spans="1:27" x14ac:dyDescent="0.35">
      <c r="A130"/>
      <c r="B130" s="97"/>
      <c r="C130"/>
      <c r="D130"/>
      <c r="E130" s="88"/>
      <c r="F130"/>
      <c r="G130"/>
      <c r="H130"/>
      <c r="I130"/>
      <c r="J130"/>
      <c r="K130"/>
      <c r="L130"/>
      <c r="M130"/>
      <c r="N130"/>
      <c r="O130"/>
      <c r="P130" s="72"/>
      <c r="Q130" s="72"/>
      <c r="R130" s="72"/>
      <c r="S130" s="72"/>
      <c r="T130" s="72"/>
      <c r="U130" s="72"/>
      <c r="V130" s="72"/>
      <c r="W130" s="72"/>
      <c r="X130" s="72"/>
      <c r="Y130" s="72"/>
      <c r="Z130" s="72"/>
      <c r="AA130" s="72"/>
    </row>
    <row r="131" spans="1:27" x14ac:dyDescent="0.35">
      <c r="A131"/>
      <c r="B131" s="97"/>
      <c r="C131"/>
      <c r="D131"/>
      <c r="E131" s="88"/>
      <c r="F131"/>
      <c r="G131"/>
      <c r="H131"/>
      <c r="I131"/>
      <c r="J131"/>
      <c r="K131"/>
      <c r="L131"/>
      <c r="M131"/>
      <c r="N131"/>
      <c r="O131"/>
      <c r="P131" s="72"/>
      <c r="Q131" s="72"/>
      <c r="R131" s="72"/>
      <c r="S131" s="72"/>
      <c r="T131" s="72"/>
      <c r="U131" s="72"/>
      <c r="V131" s="72"/>
      <c r="W131" s="72"/>
      <c r="X131" s="72"/>
      <c r="Y131" s="72"/>
      <c r="Z131" s="72"/>
      <c r="AA131" s="72"/>
    </row>
    <row r="132" spans="1:27" x14ac:dyDescent="0.35">
      <c r="A132"/>
      <c r="B132" s="97"/>
      <c r="C132"/>
      <c r="D132"/>
      <c r="E132" s="88"/>
      <c r="F132"/>
      <c r="G132"/>
      <c r="H132"/>
      <c r="I132"/>
      <c r="J132"/>
      <c r="K132"/>
      <c r="L132"/>
      <c r="M132"/>
      <c r="N132"/>
      <c r="O132"/>
      <c r="P132" s="72"/>
      <c r="Q132" s="72"/>
      <c r="R132" s="72"/>
      <c r="S132" s="72"/>
      <c r="T132" s="72"/>
      <c r="U132" s="72"/>
      <c r="V132" s="72"/>
      <c r="W132" s="72"/>
      <c r="X132" s="72"/>
      <c r="Y132" s="72"/>
      <c r="Z132" s="72"/>
      <c r="AA132" s="72"/>
    </row>
    <row r="133" spans="1:27" x14ac:dyDescent="0.35">
      <c r="A133"/>
      <c r="B133" s="97"/>
      <c r="C133"/>
      <c r="D133"/>
      <c r="E133" s="88"/>
      <c r="F133"/>
      <c r="G133"/>
      <c r="H133"/>
      <c r="I133"/>
      <c r="J133"/>
      <c r="K133"/>
      <c r="L133"/>
      <c r="M133"/>
      <c r="N133"/>
      <c r="O133"/>
      <c r="P133" s="72"/>
      <c r="Q133" s="72"/>
      <c r="R133" s="72"/>
      <c r="S133" s="72"/>
      <c r="T133" s="72"/>
      <c r="U133" s="72"/>
      <c r="V133" s="72"/>
      <c r="W133" s="72"/>
      <c r="X133" s="72"/>
      <c r="Y133" s="72"/>
      <c r="Z133" s="72"/>
      <c r="AA133" s="72"/>
    </row>
    <row r="134" spans="1:27" x14ac:dyDescent="0.35">
      <c r="A134"/>
      <c r="B134" s="97"/>
      <c r="C134"/>
      <c r="D134"/>
      <c r="E134" s="88"/>
      <c r="F134"/>
      <c r="G134"/>
      <c r="H134"/>
      <c r="I134"/>
      <c r="J134"/>
      <c r="K134"/>
      <c r="L134"/>
      <c r="M134"/>
      <c r="N134"/>
      <c r="O134"/>
      <c r="P134" s="72"/>
      <c r="Q134" s="72"/>
      <c r="R134" s="72"/>
      <c r="S134" s="72"/>
      <c r="T134" s="72"/>
      <c r="U134" s="72"/>
      <c r="V134" s="72"/>
      <c r="W134" s="72"/>
      <c r="X134" s="72"/>
      <c r="Y134" s="72"/>
      <c r="Z134" s="72"/>
      <c r="AA134" s="72"/>
    </row>
    <row r="135" spans="1:27" x14ac:dyDescent="0.35">
      <c r="A135"/>
      <c r="B135" s="97"/>
      <c r="C135"/>
      <c r="D135"/>
      <c r="E135" s="88"/>
      <c r="F135"/>
      <c r="G135"/>
      <c r="H135"/>
      <c r="I135"/>
      <c r="J135"/>
      <c r="K135"/>
      <c r="L135"/>
      <c r="M135"/>
      <c r="N135"/>
      <c r="O135"/>
      <c r="P135" s="72"/>
      <c r="Q135" s="72"/>
      <c r="R135" s="72"/>
      <c r="S135" s="72"/>
      <c r="T135" s="72"/>
      <c r="U135" s="72"/>
      <c r="V135" s="72"/>
      <c r="W135" s="72"/>
      <c r="X135" s="72"/>
      <c r="Y135" s="72"/>
      <c r="Z135" s="72"/>
      <c r="AA135" s="72"/>
    </row>
    <row r="136" spans="1:27" x14ac:dyDescent="0.35">
      <c r="A136"/>
      <c r="B136" s="97"/>
      <c r="C136"/>
      <c r="D136"/>
      <c r="E136" s="88"/>
      <c r="F136"/>
      <c r="G136"/>
      <c r="H136"/>
      <c r="I136"/>
      <c r="J136"/>
      <c r="K136"/>
      <c r="L136"/>
      <c r="M136"/>
      <c r="N136"/>
      <c r="O136"/>
      <c r="P136" s="72"/>
      <c r="Q136" s="72"/>
      <c r="R136" s="72"/>
      <c r="S136" s="72"/>
      <c r="T136" s="72"/>
      <c r="U136" s="72"/>
      <c r="V136" s="72"/>
      <c r="W136" s="72"/>
      <c r="X136" s="72"/>
      <c r="Y136" s="72"/>
      <c r="Z136" s="72"/>
      <c r="AA136" s="72"/>
    </row>
    <row r="137" spans="1:27" x14ac:dyDescent="0.35">
      <c r="A137"/>
      <c r="B137" s="97"/>
      <c r="C137"/>
      <c r="D137"/>
      <c r="E137" s="88"/>
      <c r="F137"/>
      <c r="G137"/>
      <c r="H137"/>
      <c r="I137"/>
      <c r="J137"/>
      <c r="K137"/>
      <c r="L137"/>
      <c r="M137"/>
      <c r="N137"/>
      <c r="O137"/>
      <c r="P137" s="72"/>
      <c r="Q137" s="72"/>
      <c r="R137" s="72"/>
      <c r="S137" s="72"/>
      <c r="T137" s="72"/>
      <c r="U137" s="72"/>
      <c r="V137" s="72"/>
      <c r="W137" s="72"/>
      <c r="X137" s="72"/>
      <c r="Y137" s="72"/>
      <c r="Z137" s="72"/>
      <c r="AA137" s="72"/>
    </row>
    <row r="138" spans="1:27" x14ac:dyDescent="0.35">
      <c r="A138"/>
      <c r="B138" s="97"/>
      <c r="C138"/>
      <c r="D138"/>
      <c r="E138" s="88"/>
      <c r="F138"/>
      <c r="G138"/>
      <c r="H138"/>
      <c r="I138"/>
      <c r="J138"/>
      <c r="K138"/>
      <c r="L138"/>
      <c r="M138"/>
      <c r="N138"/>
      <c r="O138"/>
      <c r="P138" s="72"/>
      <c r="Q138" s="72"/>
      <c r="R138" s="72"/>
      <c r="S138" s="72"/>
      <c r="T138" s="72"/>
      <c r="U138" s="72"/>
      <c r="V138" s="72"/>
      <c r="W138" s="72"/>
      <c r="X138" s="72"/>
      <c r="Y138" s="72"/>
      <c r="Z138" s="72"/>
      <c r="AA138" s="72"/>
    </row>
    <row r="139" spans="1:27" x14ac:dyDescent="0.35">
      <c r="A139"/>
      <c r="B139" s="97"/>
      <c r="C139"/>
      <c r="D139"/>
      <c r="E139" s="88"/>
      <c r="F139"/>
      <c r="G139"/>
      <c r="H139"/>
      <c r="I139"/>
      <c r="J139"/>
      <c r="K139"/>
      <c r="L139"/>
      <c r="M139"/>
      <c r="N139"/>
      <c r="O139"/>
      <c r="P139" s="72"/>
      <c r="Q139" s="72"/>
      <c r="R139" s="72"/>
      <c r="S139" s="72"/>
      <c r="T139" s="72"/>
      <c r="U139" s="72"/>
      <c r="V139" s="72"/>
      <c r="W139" s="72"/>
      <c r="X139" s="72"/>
      <c r="Y139" s="72"/>
      <c r="Z139" s="72"/>
      <c r="AA139" s="72"/>
    </row>
    <row r="140" spans="1:27" x14ac:dyDescent="0.35">
      <c r="A140"/>
      <c r="B140" s="97"/>
      <c r="C140"/>
      <c r="D140"/>
      <c r="E140" s="88"/>
      <c r="F140"/>
      <c r="G140"/>
      <c r="H140"/>
      <c r="I140"/>
      <c r="J140"/>
      <c r="K140"/>
      <c r="L140"/>
      <c r="M140"/>
      <c r="N140"/>
      <c r="O140"/>
      <c r="P140" s="72"/>
      <c r="Q140" s="72"/>
      <c r="R140" s="72"/>
      <c r="S140" s="72"/>
      <c r="T140" s="72"/>
      <c r="U140" s="72"/>
      <c r="V140" s="72"/>
      <c r="W140" s="72"/>
      <c r="X140" s="72"/>
      <c r="Y140" s="72"/>
      <c r="Z140" s="72"/>
      <c r="AA140" s="72"/>
    </row>
    <row r="141" spans="1:27" x14ac:dyDescent="0.35">
      <c r="A141"/>
      <c r="B141" s="97"/>
      <c r="C141"/>
      <c r="D141"/>
      <c r="E141" s="88"/>
      <c r="F141"/>
      <c r="G141"/>
      <c r="H141"/>
      <c r="I141"/>
      <c r="J141"/>
      <c r="K141"/>
      <c r="L141"/>
      <c r="M141"/>
      <c r="N141"/>
      <c r="O141"/>
      <c r="P141" s="72"/>
      <c r="Q141" s="72"/>
      <c r="R141" s="72"/>
      <c r="S141" s="72"/>
      <c r="T141" s="72"/>
      <c r="U141" s="72"/>
      <c r="V141" s="72"/>
      <c r="W141" s="72"/>
      <c r="X141" s="72"/>
      <c r="Y141" s="72"/>
      <c r="Z141" s="72"/>
      <c r="AA141" s="72"/>
    </row>
    <row r="142" spans="1:27" x14ac:dyDescent="0.35">
      <c r="A142"/>
      <c r="B142" s="97"/>
      <c r="C142"/>
      <c r="D142"/>
      <c r="E142" s="88"/>
      <c r="F142"/>
      <c r="G142"/>
      <c r="H142"/>
      <c r="I142"/>
      <c r="J142"/>
      <c r="K142"/>
      <c r="L142"/>
      <c r="M142"/>
      <c r="N142"/>
      <c r="O142"/>
      <c r="P142" s="72"/>
      <c r="Q142" s="72"/>
      <c r="R142" s="72"/>
      <c r="S142" s="72"/>
      <c r="T142" s="72"/>
      <c r="U142" s="72"/>
      <c r="V142" s="72"/>
      <c r="W142" s="72"/>
      <c r="X142" s="72"/>
      <c r="Y142" s="72"/>
      <c r="Z142" s="72"/>
      <c r="AA142" s="72"/>
    </row>
    <row r="143" spans="1:27" x14ac:dyDescent="0.35">
      <c r="A143"/>
      <c r="B143" s="97"/>
      <c r="C143"/>
      <c r="D143"/>
      <c r="E143" s="88"/>
      <c r="F143"/>
      <c r="G143"/>
      <c r="H143"/>
      <c r="I143"/>
      <c r="J143"/>
      <c r="K143"/>
      <c r="L143"/>
      <c r="M143"/>
      <c r="N143"/>
      <c r="O143"/>
      <c r="P143" s="72"/>
      <c r="Q143" s="72"/>
      <c r="R143" s="72"/>
      <c r="S143" s="72"/>
      <c r="T143" s="72"/>
      <c r="U143" s="72"/>
      <c r="V143" s="72"/>
      <c r="W143" s="72"/>
      <c r="X143" s="72"/>
      <c r="Y143" s="72"/>
      <c r="Z143" s="72"/>
      <c r="AA143" s="72"/>
    </row>
    <row r="144" spans="1:27" x14ac:dyDescent="0.35">
      <c r="A144"/>
      <c r="B144" s="97"/>
      <c r="C144"/>
      <c r="D144"/>
      <c r="E144" s="88"/>
      <c r="F144"/>
      <c r="G144"/>
      <c r="H144"/>
      <c r="I144"/>
      <c r="J144"/>
      <c r="K144"/>
      <c r="L144"/>
      <c r="M144"/>
      <c r="N144"/>
      <c r="O144"/>
      <c r="P144" s="72"/>
      <c r="Q144" s="72"/>
      <c r="R144" s="72"/>
      <c r="S144" s="72"/>
      <c r="T144" s="72"/>
      <c r="U144" s="72"/>
      <c r="V144" s="72"/>
      <c r="W144" s="72"/>
      <c r="X144" s="72"/>
      <c r="Y144" s="72"/>
      <c r="Z144" s="72"/>
      <c r="AA144" s="72"/>
    </row>
    <row r="145" spans="1:27" x14ac:dyDescent="0.35">
      <c r="A145"/>
      <c r="B145" s="97"/>
      <c r="C145"/>
      <c r="D145"/>
      <c r="E145" s="88"/>
      <c r="F145"/>
      <c r="G145"/>
      <c r="H145"/>
      <c r="I145"/>
      <c r="J145"/>
      <c r="K145"/>
      <c r="L145"/>
      <c r="M145"/>
      <c r="N145"/>
      <c r="O145"/>
      <c r="P145" s="72"/>
      <c r="Q145" s="72"/>
      <c r="R145" s="72"/>
      <c r="S145" s="72"/>
      <c r="T145" s="72"/>
      <c r="U145" s="72"/>
      <c r="V145" s="72"/>
      <c r="W145" s="72"/>
      <c r="X145" s="72"/>
      <c r="Y145" s="72"/>
      <c r="Z145" s="72"/>
      <c r="AA145" s="72"/>
    </row>
    <row r="146" spans="1:27" x14ac:dyDescent="0.35">
      <c r="A146"/>
      <c r="B146" s="97"/>
      <c r="C146"/>
      <c r="D146"/>
      <c r="E146" s="88"/>
      <c r="F146"/>
      <c r="G146"/>
      <c r="H146"/>
      <c r="I146"/>
      <c r="J146"/>
      <c r="K146"/>
      <c r="L146"/>
      <c r="M146"/>
      <c r="N146"/>
      <c r="O146"/>
      <c r="P146" s="72"/>
      <c r="Q146" s="72"/>
      <c r="R146" s="72"/>
      <c r="S146" s="72"/>
      <c r="T146" s="72"/>
      <c r="U146" s="72"/>
      <c r="V146" s="72"/>
      <c r="W146" s="72"/>
      <c r="X146" s="72"/>
      <c r="Y146" s="72"/>
      <c r="Z146" s="72"/>
      <c r="AA146" s="72"/>
    </row>
    <row r="147" spans="1:27" x14ac:dyDescent="0.35">
      <c r="A147"/>
      <c r="B147" s="97"/>
      <c r="C147"/>
      <c r="D147"/>
      <c r="E147" s="88"/>
      <c r="F147"/>
      <c r="G147"/>
      <c r="H147"/>
      <c r="I147"/>
      <c r="J147"/>
      <c r="K147"/>
      <c r="L147"/>
      <c r="M147"/>
      <c r="N147"/>
      <c r="O147"/>
      <c r="P147" s="72"/>
      <c r="Q147" s="72"/>
      <c r="R147" s="72"/>
      <c r="S147" s="72"/>
      <c r="T147" s="72"/>
      <c r="U147" s="72"/>
      <c r="V147" s="72"/>
      <c r="W147" s="72"/>
      <c r="X147" s="72"/>
      <c r="Y147" s="72"/>
      <c r="Z147" s="72"/>
      <c r="AA147" s="72"/>
    </row>
    <row r="148" spans="1:27" x14ac:dyDescent="0.35">
      <c r="A148"/>
      <c r="B148" s="97"/>
      <c r="C148"/>
      <c r="D148"/>
      <c r="E148" s="88"/>
      <c r="F148"/>
      <c r="G148"/>
      <c r="H148"/>
      <c r="I148"/>
      <c r="J148"/>
      <c r="K148"/>
      <c r="L148"/>
      <c r="M148"/>
      <c r="N148"/>
      <c r="O148"/>
      <c r="P148" s="72"/>
      <c r="Q148" s="72"/>
      <c r="R148" s="72"/>
      <c r="S148" s="72"/>
      <c r="T148" s="72"/>
      <c r="U148" s="72"/>
      <c r="V148" s="72"/>
      <c r="W148" s="72"/>
      <c r="X148" s="72"/>
      <c r="Y148" s="72"/>
      <c r="Z148" s="72"/>
      <c r="AA148" s="72"/>
    </row>
    <row r="149" spans="1:27" x14ac:dyDescent="0.35">
      <c r="A149"/>
      <c r="B149" s="97"/>
      <c r="C149"/>
      <c r="D149"/>
      <c r="E149" s="88"/>
      <c r="F149"/>
      <c r="G149"/>
      <c r="H149"/>
      <c r="I149"/>
      <c r="J149"/>
      <c r="K149"/>
      <c r="L149"/>
      <c r="M149"/>
      <c r="N149"/>
      <c r="O149"/>
      <c r="P149" s="72"/>
      <c r="Q149" s="72"/>
      <c r="R149" s="72"/>
      <c r="S149" s="72"/>
      <c r="T149" s="72"/>
      <c r="U149" s="72"/>
      <c r="V149" s="72"/>
      <c r="W149" s="72"/>
      <c r="X149" s="72"/>
      <c r="Y149" s="72"/>
      <c r="Z149" s="72"/>
      <c r="AA149" s="72"/>
    </row>
    <row r="150" spans="1:27" x14ac:dyDescent="0.35">
      <c r="A150"/>
      <c r="B150" s="97"/>
      <c r="C150"/>
      <c r="D150"/>
      <c r="E150" s="88"/>
      <c r="F150"/>
      <c r="G150"/>
      <c r="H150"/>
      <c r="I150"/>
      <c r="J150"/>
      <c r="K150"/>
      <c r="L150"/>
      <c r="M150"/>
      <c r="N150"/>
      <c r="O150"/>
      <c r="P150" s="72"/>
      <c r="Q150" s="72"/>
      <c r="R150" s="72"/>
      <c r="S150" s="72"/>
      <c r="T150" s="72"/>
      <c r="U150" s="72"/>
      <c r="V150" s="72"/>
      <c r="W150" s="72"/>
      <c r="X150" s="72"/>
      <c r="Y150" s="72"/>
      <c r="Z150" s="72"/>
      <c r="AA150" s="72"/>
    </row>
    <row r="151" spans="1:27" x14ac:dyDescent="0.35">
      <c r="A151"/>
      <c r="B151" s="97"/>
      <c r="C151"/>
      <c r="D151"/>
      <c r="E151" s="88"/>
      <c r="F151"/>
      <c r="G151"/>
      <c r="H151"/>
      <c r="I151"/>
      <c r="J151"/>
      <c r="K151"/>
      <c r="L151"/>
      <c r="M151"/>
      <c r="N151"/>
      <c r="O151"/>
      <c r="P151" s="72"/>
      <c r="Q151" s="72"/>
      <c r="R151" s="72"/>
      <c r="S151" s="72"/>
      <c r="T151" s="72"/>
      <c r="U151" s="72"/>
      <c r="V151" s="72"/>
      <c r="W151" s="72"/>
      <c r="X151" s="72"/>
      <c r="Y151" s="72"/>
      <c r="Z151" s="72"/>
      <c r="AA151" s="72"/>
    </row>
    <row r="152" spans="1:27" x14ac:dyDescent="0.35">
      <c r="A152"/>
      <c r="B152" s="97"/>
      <c r="C152"/>
      <c r="D152"/>
      <c r="E152" s="88"/>
      <c r="F152"/>
      <c r="G152"/>
      <c r="H152"/>
      <c r="I152"/>
      <c r="J152"/>
      <c r="K152"/>
      <c r="L152"/>
      <c r="M152"/>
      <c r="N152"/>
      <c r="O152"/>
      <c r="P152" s="72"/>
      <c r="Q152" s="72"/>
      <c r="R152" s="72"/>
      <c r="S152" s="72"/>
      <c r="T152" s="72"/>
      <c r="U152" s="72"/>
      <c r="V152" s="72"/>
      <c r="W152" s="72"/>
      <c r="X152" s="72"/>
      <c r="Y152" s="72"/>
      <c r="Z152" s="72"/>
      <c r="AA152" s="72"/>
    </row>
    <row r="153" spans="1:27" x14ac:dyDescent="0.35">
      <c r="A153"/>
      <c r="B153" s="97"/>
      <c r="C153"/>
      <c r="D153"/>
      <c r="E153" s="88"/>
      <c r="F153"/>
      <c r="G153"/>
      <c r="H153"/>
      <c r="I153"/>
      <c r="J153"/>
      <c r="K153"/>
      <c r="L153"/>
      <c r="M153"/>
      <c r="N153"/>
      <c r="O153"/>
      <c r="P153" s="72"/>
      <c r="Q153" s="72"/>
      <c r="R153" s="72"/>
      <c r="S153" s="72"/>
      <c r="T153" s="72"/>
      <c r="U153" s="72"/>
      <c r="V153" s="72"/>
      <c r="W153" s="72"/>
      <c r="X153" s="72"/>
      <c r="Y153" s="72"/>
      <c r="Z153" s="72"/>
      <c r="AA153" s="72"/>
    </row>
    <row r="154" spans="1:27" x14ac:dyDescent="0.35">
      <c r="A154"/>
      <c r="B154" s="97"/>
      <c r="C154"/>
      <c r="D154"/>
      <c r="E154" s="88"/>
      <c r="F154"/>
      <c r="G154"/>
      <c r="H154"/>
      <c r="I154"/>
      <c r="J154"/>
      <c r="K154"/>
      <c r="L154"/>
      <c r="M154"/>
      <c r="N154"/>
      <c r="O154"/>
      <c r="P154" s="72"/>
      <c r="Q154" s="72"/>
      <c r="R154" s="72"/>
      <c r="S154" s="72"/>
      <c r="T154" s="72"/>
      <c r="U154" s="72"/>
      <c r="V154" s="72"/>
      <c r="W154" s="72"/>
      <c r="X154" s="72"/>
      <c r="Y154" s="72"/>
      <c r="Z154" s="72"/>
      <c r="AA154" s="72"/>
    </row>
    <row r="155" spans="1:27" x14ac:dyDescent="0.35">
      <c r="A155"/>
      <c r="B155" s="97"/>
      <c r="C155"/>
      <c r="D155"/>
      <c r="E155" s="88"/>
      <c r="F155"/>
      <c r="G155"/>
      <c r="H155"/>
      <c r="I155"/>
      <c r="J155"/>
      <c r="K155"/>
      <c r="L155"/>
      <c r="M155"/>
      <c r="N155"/>
      <c r="O155"/>
      <c r="P155" s="72"/>
      <c r="Q155" s="72"/>
      <c r="R155" s="72"/>
      <c r="S155" s="72"/>
      <c r="T155" s="72"/>
      <c r="U155" s="72"/>
      <c r="V155" s="72"/>
      <c r="W155" s="72"/>
      <c r="X155" s="72"/>
      <c r="Y155" s="72"/>
      <c r="Z155" s="72"/>
      <c r="AA155" s="72"/>
    </row>
    <row r="156" spans="1:27" x14ac:dyDescent="0.35">
      <c r="A156"/>
      <c r="B156" s="97"/>
      <c r="C156"/>
      <c r="D156"/>
      <c r="E156" s="88"/>
      <c r="F156"/>
      <c r="G156"/>
      <c r="H156"/>
      <c r="I156"/>
      <c r="J156"/>
      <c r="K156"/>
      <c r="L156"/>
      <c r="M156"/>
      <c r="N156"/>
      <c r="O156"/>
      <c r="P156" s="72"/>
      <c r="Q156" s="72"/>
      <c r="R156" s="72"/>
      <c r="S156" s="72"/>
      <c r="T156" s="72"/>
      <c r="U156" s="72"/>
      <c r="V156" s="72"/>
      <c r="W156" s="72"/>
      <c r="X156" s="72"/>
      <c r="Y156" s="72"/>
      <c r="Z156" s="72"/>
      <c r="AA156" s="72"/>
    </row>
    <row r="157" spans="1:27" x14ac:dyDescent="0.35">
      <c r="A157"/>
      <c r="B157" s="97"/>
      <c r="C157"/>
      <c r="D157"/>
      <c r="E157" s="88"/>
      <c r="F157"/>
      <c r="G157"/>
      <c r="H157"/>
      <c r="I157"/>
      <c r="J157"/>
      <c r="K157"/>
      <c r="L157"/>
      <c r="M157"/>
      <c r="N157"/>
      <c r="O157"/>
      <c r="P157" s="72"/>
      <c r="Q157" s="72"/>
      <c r="R157" s="72"/>
      <c r="S157" s="72"/>
      <c r="T157" s="72"/>
      <c r="U157" s="72"/>
      <c r="V157" s="72"/>
      <c r="W157" s="72"/>
      <c r="X157" s="72"/>
      <c r="Y157" s="72"/>
      <c r="Z157" s="72"/>
      <c r="AA157" s="72"/>
    </row>
    <row r="158" spans="1:27" x14ac:dyDescent="0.35">
      <c r="A158"/>
      <c r="B158" s="97"/>
      <c r="C158"/>
      <c r="D158"/>
      <c r="E158" s="88"/>
      <c r="F158"/>
      <c r="G158"/>
      <c r="H158"/>
      <c r="I158"/>
      <c r="J158"/>
      <c r="K158"/>
      <c r="L158"/>
      <c r="M158"/>
      <c r="N158"/>
      <c r="O158"/>
      <c r="P158" s="72"/>
      <c r="Q158" s="72"/>
      <c r="R158" s="72"/>
      <c r="S158" s="72"/>
      <c r="T158" s="72"/>
      <c r="U158" s="72"/>
      <c r="V158" s="72"/>
      <c r="W158" s="72"/>
      <c r="X158" s="72"/>
      <c r="Y158" s="72"/>
      <c r="Z158" s="72"/>
      <c r="AA158" s="72"/>
    </row>
    <row r="159" spans="1:27" x14ac:dyDescent="0.35">
      <c r="A159"/>
      <c r="B159" s="97"/>
      <c r="C159"/>
      <c r="D159"/>
      <c r="E159" s="88"/>
      <c r="F159"/>
      <c r="G159"/>
      <c r="H159"/>
      <c r="I159"/>
      <c r="J159"/>
      <c r="K159"/>
      <c r="L159"/>
      <c r="M159"/>
      <c r="N159"/>
      <c r="O159"/>
      <c r="P159" s="72"/>
      <c r="Q159" s="72"/>
      <c r="R159" s="72"/>
      <c r="S159" s="72"/>
      <c r="T159" s="72"/>
      <c r="U159" s="72"/>
      <c r="V159" s="72"/>
      <c r="W159" s="72"/>
      <c r="X159" s="72"/>
      <c r="Y159" s="72"/>
      <c r="Z159" s="72"/>
      <c r="AA159" s="72"/>
    </row>
    <row r="160" spans="1:27" x14ac:dyDescent="0.35">
      <c r="A160"/>
      <c r="B160" s="97"/>
      <c r="C160"/>
      <c r="D160"/>
      <c r="E160" s="88"/>
      <c r="F160"/>
      <c r="G160"/>
      <c r="H160"/>
      <c r="I160"/>
      <c r="J160"/>
      <c r="K160"/>
      <c r="L160"/>
      <c r="M160"/>
      <c r="N160"/>
      <c r="O160"/>
      <c r="P160" s="72"/>
      <c r="Q160" s="72"/>
      <c r="R160" s="72"/>
      <c r="S160" s="72"/>
      <c r="T160" s="72"/>
      <c r="U160" s="72"/>
      <c r="V160" s="72"/>
      <c r="W160" s="72"/>
      <c r="X160" s="72"/>
      <c r="Y160" s="72"/>
      <c r="Z160" s="72"/>
      <c r="AA160" s="72"/>
    </row>
    <row r="161" spans="1:27" x14ac:dyDescent="0.35">
      <c r="A161"/>
      <c r="B161" s="97"/>
      <c r="C161"/>
      <c r="D161"/>
      <c r="E161" s="88"/>
      <c r="F161"/>
      <c r="G161"/>
      <c r="H161"/>
      <c r="I161"/>
      <c r="J161"/>
      <c r="K161"/>
      <c r="L161"/>
      <c r="M161"/>
      <c r="N161"/>
      <c r="O161"/>
      <c r="P161" s="72"/>
      <c r="Q161" s="72"/>
      <c r="R161" s="72"/>
      <c r="S161" s="72"/>
      <c r="T161" s="72"/>
      <c r="U161" s="72"/>
      <c r="V161" s="72"/>
      <c r="W161" s="72"/>
      <c r="X161" s="72"/>
      <c r="Y161" s="72"/>
      <c r="Z161" s="72"/>
      <c r="AA161" s="72"/>
    </row>
    <row r="162" spans="1:27" x14ac:dyDescent="0.35">
      <c r="A162"/>
      <c r="B162" s="97"/>
      <c r="C162"/>
      <c r="D162"/>
      <c r="E162" s="88"/>
      <c r="F162"/>
      <c r="G162"/>
      <c r="H162"/>
      <c r="I162"/>
      <c r="J162"/>
      <c r="K162"/>
      <c r="L162"/>
      <c r="M162"/>
      <c r="N162"/>
      <c r="O162"/>
      <c r="P162" s="72"/>
      <c r="Q162" s="72"/>
      <c r="R162" s="72"/>
      <c r="S162" s="72"/>
      <c r="T162" s="72"/>
      <c r="U162" s="72"/>
      <c r="V162" s="72"/>
      <c r="W162" s="72"/>
      <c r="X162" s="72"/>
      <c r="Y162" s="72"/>
      <c r="Z162" s="72"/>
      <c r="AA162" s="72"/>
    </row>
    <row r="163" spans="1:27" x14ac:dyDescent="0.35">
      <c r="A163"/>
      <c r="B163" s="97"/>
      <c r="C163"/>
      <c r="D163"/>
      <c r="E163" s="88"/>
      <c r="F163"/>
      <c r="G163"/>
      <c r="H163"/>
      <c r="I163"/>
      <c r="J163"/>
      <c r="K163"/>
      <c r="L163"/>
      <c r="M163"/>
      <c r="N163"/>
      <c r="O163"/>
      <c r="P163" s="72"/>
      <c r="Q163" s="72"/>
      <c r="R163" s="72"/>
      <c r="S163" s="72"/>
      <c r="T163" s="72"/>
      <c r="U163" s="72"/>
      <c r="V163" s="72"/>
      <c r="W163" s="72"/>
      <c r="X163" s="72"/>
      <c r="Y163" s="72"/>
      <c r="Z163" s="72"/>
      <c r="AA163" s="72"/>
    </row>
    <row r="164" spans="1:27" x14ac:dyDescent="0.35">
      <c r="A164"/>
      <c r="B164" s="97"/>
      <c r="C164"/>
      <c r="D164"/>
      <c r="E164" s="88"/>
      <c r="F164"/>
      <c r="G164"/>
      <c r="H164"/>
      <c r="I164"/>
      <c r="J164"/>
      <c r="K164"/>
      <c r="L164"/>
      <c r="M164"/>
      <c r="N164"/>
      <c r="O164"/>
      <c r="P164" s="72"/>
      <c r="Q164" s="72"/>
      <c r="R164" s="72"/>
      <c r="S164" s="72"/>
      <c r="T164" s="72"/>
      <c r="U164" s="72"/>
      <c r="V164" s="72"/>
      <c r="W164" s="72"/>
      <c r="X164" s="72"/>
      <c r="Y164" s="72"/>
      <c r="Z164" s="72"/>
      <c r="AA164" s="72"/>
    </row>
    <row r="165" spans="1:27" x14ac:dyDescent="0.35">
      <c r="A165"/>
      <c r="B165" s="97"/>
      <c r="C165"/>
      <c r="D165"/>
      <c r="E165" s="88"/>
      <c r="F165"/>
      <c r="G165"/>
      <c r="H165"/>
      <c r="I165"/>
      <c r="J165"/>
      <c r="K165"/>
      <c r="L165"/>
      <c r="M165"/>
      <c r="N165"/>
      <c r="O165"/>
      <c r="P165" s="72"/>
      <c r="Q165" s="72"/>
      <c r="R165" s="72"/>
      <c r="S165" s="72"/>
      <c r="T165" s="72"/>
      <c r="U165" s="72"/>
      <c r="V165" s="72"/>
      <c r="W165" s="72"/>
      <c r="X165" s="72"/>
      <c r="Y165" s="72"/>
      <c r="Z165" s="72"/>
      <c r="AA165" s="72"/>
    </row>
    <row r="166" spans="1:27" x14ac:dyDescent="0.35">
      <c r="A166"/>
      <c r="B166" s="97"/>
      <c r="C166"/>
      <c r="D166"/>
      <c r="E166" s="88"/>
      <c r="F166"/>
      <c r="G166"/>
      <c r="H166"/>
      <c r="I166"/>
      <c r="J166"/>
      <c r="K166"/>
      <c r="L166"/>
      <c r="M166"/>
      <c r="N166"/>
      <c r="O166"/>
      <c r="P166" s="72"/>
      <c r="Q166" s="72"/>
      <c r="R166" s="72"/>
      <c r="S166" s="72"/>
      <c r="T166" s="72"/>
      <c r="U166" s="72"/>
      <c r="V166" s="72"/>
      <c r="W166" s="72"/>
      <c r="X166" s="72"/>
      <c r="Y166" s="72"/>
      <c r="Z166" s="72"/>
      <c r="AA166" s="72"/>
    </row>
    <row r="167" spans="1:27" x14ac:dyDescent="0.35">
      <c r="A167"/>
      <c r="B167" s="97"/>
      <c r="C167"/>
      <c r="D167"/>
      <c r="E167" s="88"/>
      <c r="F167"/>
      <c r="G167"/>
      <c r="H167"/>
      <c r="I167"/>
      <c r="J167"/>
      <c r="K167"/>
      <c r="L167"/>
      <c r="M167"/>
      <c r="N167"/>
      <c r="O167"/>
      <c r="P167" s="72"/>
      <c r="Q167" s="72"/>
      <c r="R167" s="72"/>
      <c r="S167" s="72"/>
      <c r="T167" s="72"/>
      <c r="U167" s="72"/>
      <c r="V167" s="72"/>
      <c r="W167" s="72"/>
      <c r="X167" s="72"/>
      <c r="Y167" s="72"/>
      <c r="Z167" s="72"/>
      <c r="AA167" s="72"/>
    </row>
    <row r="168" spans="1:27" x14ac:dyDescent="0.35">
      <c r="A168"/>
      <c r="B168" s="97"/>
      <c r="C168"/>
      <c r="D168"/>
      <c r="E168" s="88"/>
      <c r="F168"/>
      <c r="G168"/>
      <c r="H168"/>
      <c r="I168"/>
      <c r="J168"/>
      <c r="K168"/>
      <c r="L168"/>
      <c r="M168"/>
      <c r="N168"/>
      <c r="O168"/>
      <c r="P168" s="72"/>
      <c r="Q168" s="72"/>
      <c r="R168" s="72"/>
      <c r="S168" s="72"/>
      <c r="T168" s="72"/>
      <c r="U168" s="72"/>
      <c r="V168" s="72"/>
      <c r="W168" s="72"/>
      <c r="X168" s="72"/>
      <c r="Y168" s="72"/>
      <c r="Z168" s="72"/>
      <c r="AA168" s="72"/>
    </row>
    <row r="169" spans="1:27" x14ac:dyDescent="0.35">
      <c r="A169"/>
      <c r="B169" s="97"/>
      <c r="C169"/>
      <c r="D169"/>
      <c r="E169" s="88"/>
      <c r="F169"/>
      <c r="G169"/>
      <c r="H169"/>
      <c r="I169"/>
      <c r="J169"/>
      <c r="K169"/>
      <c r="L169"/>
      <c r="M169"/>
      <c r="N169"/>
      <c r="O169"/>
      <c r="P169" s="72"/>
      <c r="Q169" s="72"/>
      <c r="R169" s="72"/>
      <c r="S169" s="72"/>
      <c r="T169" s="72"/>
      <c r="U169" s="72"/>
      <c r="V169" s="72"/>
      <c r="W169" s="72"/>
      <c r="X169" s="72"/>
      <c r="Y169" s="72"/>
      <c r="Z169" s="72"/>
      <c r="AA169" s="72"/>
    </row>
    <row r="170" spans="1:27" x14ac:dyDescent="0.35">
      <c r="A170"/>
      <c r="B170" s="97"/>
      <c r="C170"/>
      <c r="D170"/>
      <c r="E170" s="88"/>
      <c r="F170"/>
      <c r="G170"/>
      <c r="H170"/>
      <c r="I170"/>
      <c r="J170"/>
      <c r="K170"/>
      <c r="L170"/>
      <c r="M170"/>
      <c r="N170"/>
      <c r="O170"/>
      <c r="P170" s="72"/>
      <c r="Q170" s="72"/>
      <c r="R170" s="72"/>
      <c r="S170" s="72"/>
      <c r="T170" s="72"/>
      <c r="U170" s="72"/>
      <c r="V170" s="72"/>
      <c r="W170" s="72"/>
      <c r="X170" s="72"/>
      <c r="Y170" s="72"/>
      <c r="Z170" s="72"/>
      <c r="AA170" s="72"/>
    </row>
    <row r="171" spans="1:27" x14ac:dyDescent="0.35">
      <c r="A171"/>
      <c r="B171" s="97"/>
      <c r="C171"/>
      <c r="D171"/>
      <c r="E171" s="88"/>
      <c r="F171"/>
      <c r="G171"/>
      <c r="H171"/>
      <c r="I171"/>
      <c r="J171"/>
      <c r="K171"/>
      <c r="L171"/>
      <c r="M171"/>
      <c r="N171"/>
      <c r="O171"/>
      <c r="P171" s="72"/>
      <c r="Q171" s="72"/>
      <c r="R171" s="72"/>
      <c r="S171" s="72"/>
      <c r="T171" s="72"/>
      <c r="U171" s="72"/>
      <c r="V171" s="72"/>
      <c r="W171" s="72"/>
      <c r="X171" s="72"/>
      <c r="Y171" s="72"/>
      <c r="Z171" s="72"/>
      <c r="AA171" s="72"/>
    </row>
    <row r="172" spans="1:27" x14ac:dyDescent="0.35">
      <c r="A172"/>
      <c r="B172" s="97"/>
      <c r="C172"/>
      <c r="D172"/>
      <c r="E172" s="88"/>
      <c r="F172"/>
      <c r="G172"/>
      <c r="H172"/>
      <c r="I172"/>
      <c r="J172"/>
      <c r="K172"/>
      <c r="L172"/>
      <c r="M172"/>
      <c r="N172"/>
      <c r="O172"/>
      <c r="P172" s="72"/>
      <c r="Q172" s="72"/>
      <c r="R172" s="72"/>
      <c r="S172" s="72"/>
      <c r="T172" s="72"/>
      <c r="U172" s="72"/>
      <c r="V172" s="72"/>
      <c r="W172" s="72"/>
      <c r="X172" s="72"/>
      <c r="Y172" s="72"/>
      <c r="Z172" s="72"/>
      <c r="AA172" s="72"/>
    </row>
    <row r="173" spans="1:27" x14ac:dyDescent="0.35">
      <c r="A173"/>
      <c r="B173" s="97"/>
      <c r="C173"/>
      <c r="D173"/>
      <c r="E173" s="88"/>
      <c r="F173"/>
      <c r="G173"/>
      <c r="H173"/>
      <c r="I173"/>
      <c r="J173"/>
      <c r="K173"/>
      <c r="L173"/>
      <c r="M173"/>
      <c r="N173"/>
      <c r="O173"/>
      <c r="P173" s="72"/>
      <c r="Q173" s="72"/>
      <c r="R173" s="72"/>
      <c r="S173" s="72"/>
      <c r="T173" s="72"/>
      <c r="U173" s="72"/>
      <c r="V173" s="72"/>
      <c r="W173" s="72"/>
      <c r="X173" s="72"/>
      <c r="Y173" s="72"/>
      <c r="Z173" s="72"/>
      <c r="AA173" s="72"/>
    </row>
    <row r="174" spans="1:27" x14ac:dyDescent="0.35">
      <c r="A174"/>
      <c r="B174" s="97"/>
      <c r="C174"/>
      <c r="D174"/>
      <c r="E174" s="88"/>
      <c r="F174"/>
      <c r="G174"/>
      <c r="H174"/>
      <c r="I174"/>
      <c r="J174"/>
      <c r="K174"/>
      <c r="L174"/>
      <c r="M174"/>
      <c r="N174"/>
      <c r="O174"/>
      <c r="P174" s="72"/>
      <c r="Q174" s="72"/>
      <c r="R174" s="72"/>
      <c r="S174" s="72"/>
      <c r="T174" s="72"/>
      <c r="U174" s="72"/>
      <c r="V174" s="72"/>
      <c r="W174" s="72"/>
      <c r="X174" s="72"/>
      <c r="Y174" s="72"/>
      <c r="Z174" s="72"/>
      <c r="AA174" s="72"/>
    </row>
    <row r="175" spans="1:27" x14ac:dyDescent="0.35">
      <c r="A175"/>
      <c r="B175" s="97"/>
      <c r="C175"/>
      <c r="D175"/>
      <c r="E175" s="88"/>
      <c r="F175"/>
      <c r="G175"/>
      <c r="H175"/>
      <c r="I175"/>
      <c r="J175"/>
      <c r="K175"/>
      <c r="L175"/>
      <c r="M175"/>
      <c r="N175"/>
      <c r="O175"/>
      <c r="P175" s="72"/>
      <c r="Q175" s="72"/>
      <c r="R175" s="72"/>
      <c r="S175" s="72"/>
      <c r="T175" s="72"/>
      <c r="U175" s="72"/>
      <c r="V175" s="72"/>
      <c r="W175" s="72"/>
      <c r="X175" s="72"/>
      <c r="Y175" s="72"/>
      <c r="Z175" s="72"/>
      <c r="AA175" s="72"/>
    </row>
    <row r="176" spans="1:27" x14ac:dyDescent="0.35">
      <c r="A176"/>
      <c r="B176" s="97"/>
      <c r="C176"/>
      <c r="D176"/>
      <c r="E176" s="88"/>
      <c r="F176"/>
      <c r="G176"/>
      <c r="H176"/>
      <c r="I176"/>
      <c r="J176"/>
      <c r="K176"/>
      <c r="L176"/>
      <c r="M176"/>
      <c r="N176"/>
      <c r="O176"/>
      <c r="P176" s="72"/>
      <c r="Q176" s="72"/>
      <c r="R176" s="72"/>
      <c r="S176" s="72"/>
      <c r="T176" s="72"/>
      <c r="U176" s="72"/>
      <c r="V176" s="72"/>
      <c r="W176" s="72"/>
      <c r="X176" s="72"/>
      <c r="Y176" s="72"/>
      <c r="Z176" s="72"/>
      <c r="AA176" s="72"/>
    </row>
    <row r="177" spans="1:27" x14ac:dyDescent="0.35">
      <c r="A177"/>
      <c r="B177" s="97"/>
      <c r="C177"/>
      <c r="D177"/>
      <c r="E177" s="88"/>
      <c r="F177"/>
      <c r="G177"/>
      <c r="H177"/>
      <c r="I177"/>
      <c r="J177"/>
      <c r="K177"/>
      <c r="L177"/>
      <c r="M177"/>
      <c r="N177"/>
      <c r="O177"/>
      <c r="P177" s="72"/>
      <c r="Q177" s="72"/>
      <c r="R177" s="72"/>
      <c r="S177" s="72"/>
      <c r="T177" s="72"/>
      <c r="U177" s="72"/>
      <c r="V177" s="72"/>
      <c r="W177" s="72"/>
      <c r="X177" s="72"/>
      <c r="Y177" s="72"/>
      <c r="Z177" s="72"/>
      <c r="AA177" s="72"/>
    </row>
    <row r="178" spans="1:27" x14ac:dyDescent="0.35">
      <c r="A178"/>
      <c r="B178" s="97"/>
      <c r="C178"/>
      <c r="D178"/>
      <c r="E178" s="88"/>
      <c r="F178"/>
      <c r="G178"/>
      <c r="H178"/>
      <c r="I178"/>
      <c r="J178"/>
      <c r="K178"/>
      <c r="L178"/>
      <c r="M178"/>
      <c r="N178"/>
      <c r="O178"/>
      <c r="P178" s="72"/>
      <c r="Q178" s="72"/>
      <c r="R178" s="72"/>
      <c r="S178" s="72"/>
      <c r="T178" s="72"/>
      <c r="U178" s="72"/>
      <c r="V178" s="72"/>
      <c r="W178" s="72"/>
      <c r="X178" s="72"/>
      <c r="Y178" s="72"/>
      <c r="Z178" s="72"/>
      <c r="AA178" s="72"/>
    </row>
    <row r="179" spans="1:27" x14ac:dyDescent="0.35">
      <c r="A179"/>
      <c r="B179" s="97"/>
      <c r="C179"/>
      <c r="D179"/>
      <c r="E179" s="88"/>
      <c r="F179"/>
      <c r="G179"/>
      <c r="H179"/>
      <c r="I179"/>
      <c r="J179"/>
      <c r="K179"/>
      <c r="L179"/>
      <c r="M179"/>
      <c r="N179"/>
      <c r="O179"/>
      <c r="P179" s="72"/>
      <c r="Q179" s="72"/>
      <c r="R179" s="72"/>
      <c r="S179" s="72"/>
      <c r="T179" s="72"/>
      <c r="U179" s="72"/>
      <c r="V179" s="72"/>
      <c r="W179" s="72"/>
      <c r="X179" s="72"/>
      <c r="Y179" s="72"/>
      <c r="Z179" s="72"/>
      <c r="AA179" s="72"/>
    </row>
    <row r="180" spans="1:27" x14ac:dyDescent="0.35">
      <c r="A180"/>
      <c r="B180" s="97"/>
      <c r="C180"/>
      <c r="D180"/>
      <c r="E180" s="88"/>
      <c r="F180"/>
      <c r="G180"/>
      <c r="H180"/>
      <c r="I180"/>
      <c r="J180"/>
      <c r="K180"/>
      <c r="L180"/>
      <c r="M180"/>
      <c r="N180"/>
      <c r="O180"/>
      <c r="P180" s="72"/>
      <c r="Q180" s="72"/>
      <c r="R180" s="72"/>
      <c r="S180" s="72"/>
      <c r="T180" s="72"/>
      <c r="U180" s="72"/>
      <c r="V180" s="72"/>
      <c r="W180" s="72"/>
      <c r="X180" s="72"/>
      <c r="Y180" s="72"/>
      <c r="Z180" s="72"/>
      <c r="AA180" s="72"/>
    </row>
    <row r="181" spans="1:27" x14ac:dyDescent="0.35">
      <c r="A181"/>
      <c r="B181" s="97"/>
      <c r="C181"/>
      <c r="D181"/>
      <c r="E181" s="88"/>
      <c r="F181"/>
      <c r="G181"/>
      <c r="H181"/>
      <c r="I181"/>
      <c r="J181"/>
      <c r="K181"/>
      <c r="L181"/>
      <c r="M181"/>
      <c r="N181"/>
      <c r="O181"/>
      <c r="P181" s="72"/>
      <c r="Q181" s="72"/>
      <c r="R181" s="72"/>
      <c r="S181" s="72"/>
      <c r="T181" s="72"/>
      <c r="U181" s="72"/>
      <c r="V181" s="72"/>
      <c r="W181" s="72"/>
      <c r="X181" s="72"/>
      <c r="Y181" s="72"/>
      <c r="Z181" s="72"/>
      <c r="AA181" s="72"/>
    </row>
    <row r="182" spans="1:27" x14ac:dyDescent="0.35">
      <c r="A182"/>
      <c r="B182" s="97"/>
      <c r="C182"/>
      <c r="D182"/>
      <c r="E182" s="88"/>
      <c r="F182"/>
      <c r="G182"/>
      <c r="H182"/>
      <c r="I182"/>
      <c r="J182"/>
      <c r="K182"/>
      <c r="L182"/>
      <c r="M182"/>
      <c r="N182"/>
      <c r="O182"/>
      <c r="P182" s="72"/>
      <c r="Q182" s="72"/>
      <c r="R182" s="72"/>
      <c r="S182" s="72"/>
      <c r="T182" s="72"/>
      <c r="U182" s="72"/>
      <c r="V182" s="72"/>
      <c r="W182" s="72"/>
      <c r="X182" s="72"/>
      <c r="Y182" s="72"/>
      <c r="Z182" s="72"/>
      <c r="AA182" s="72"/>
    </row>
    <row r="183" spans="1:27" x14ac:dyDescent="0.35">
      <c r="A183"/>
      <c r="B183" s="97"/>
      <c r="C183"/>
      <c r="D183"/>
      <c r="E183" s="88"/>
      <c r="F183"/>
      <c r="G183"/>
      <c r="H183"/>
      <c r="I183"/>
      <c r="J183"/>
      <c r="K183"/>
      <c r="L183"/>
      <c r="M183"/>
      <c r="N183"/>
      <c r="O183"/>
      <c r="P183" s="72"/>
      <c r="Q183" s="72"/>
      <c r="R183" s="72"/>
      <c r="S183" s="72"/>
      <c r="T183" s="72"/>
      <c r="U183" s="72"/>
      <c r="V183" s="72"/>
      <c r="W183" s="72"/>
      <c r="X183" s="72"/>
      <c r="Y183" s="72"/>
      <c r="Z183" s="72"/>
      <c r="AA183" s="72"/>
    </row>
    <row r="184" spans="1:27" x14ac:dyDescent="0.35">
      <c r="A184"/>
      <c r="B184" s="97"/>
      <c r="C184"/>
      <c r="D184"/>
      <c r="E184" s="88"/>
      <c r="F184"/>
      <c r="G184"/>
      <c r="H184"/>
      <c r="I184"/>
      <c r="J184"/>
      <c r="K184"/>
      <c r="L184"/>
      <c r="M184"/>
      <c r="N184"/>
      <c r="O184"/>
      <c r="P184" s="72"/>
      <c r="Q184" s="72"/>
      <c r="R184" s="72"/>
      <c r="S184" s="72"/>
      <c r="T184" s="72"/>
      <c r="U184" s="72"/>
      <c r="V184" s="72"/>
      <c r="W184" s="72"/>
      <c r="X184" s="72"/>
      <c r="Y184" s="72"/>
      <c r="Z184" s="72"/>
      <c r="AA184" s="72"/>
    </row>
    <row r="185" spans="1:27" x14ac:dyDescent="0.35">
      <c r="A185"/>
      <c r="B185" s="97"/>
      <c r="C185"/>
      <c r="D185"/>
      <c r="E185" s="88"/>
      <c r="F185"/>
      <c r="G185"/>
      <c r="H185"/>
      <c r="I185"/>
      <c r="J185"/>
      <c r="K185"/>
      <c r="L185"/>
      <c r="M185"/>
      <c r="N185"/>
      <c r="O185"/>
      <c r="P185" s="72"/>
      <c r="Q185" s="72"/>
      <c r="R185" s="72"/>
      <c r="S185" s="72"/>
      <c r="T185" s="72"/>
      <c r="U185" s="72"/>
      <c r="V185" s="72"/>
      <c r="W185" s="72"/>
      <c r="X185" s="72"/>
      <c r="Y185" s="72"/>
      <c r="Z185" s="72"/>
      <c r="AA185" s="72"/>
    </row>
    <row r="186" spans="1:27" x14ac:dyDescent="0.35">
      <c r="A186"/>
      <c r="B186" s="97"/>
      <c r="C186"/>
      <c r="D186"/>
      <c r="E186" s="88"/>
      <c r="F186"/>
      <c r="G186"/>
      <c r="H186"/>
      <c r="I186"/>
      <c r="J186"/>
      <c r="K186"/>
      <c r="L186"/>
      <c r="M186"/>
      <c r="N186"/>
      <c r="O186"/>
      <c r="P186" s="72"/>
      <c r="Q186" s="72"/>
      <c r="R186" s="72"/>
      <c r="S186" s="72"/>
      <c r="T186" s="72"/>
      <c r="U186" s="72"/>
      <c r="V186" s="72"/>
      <c r="W186" s="72"/>
      <c r="X186" s="72"/>
      <c r="Y186" s="72"/>
      <c r="Z186" s="72"/>
      <c r="AA186" s="72"/>
    </row>
    <row r="187" spans="1:27" x14ac:dyDescent="0.35">
      <c r="A187"/>
      <c r="B187" s="97"/>
      <c r="C187"/>
      <c r="D187"/>
      <c r="E187" s="88"/>
      <c r="F187"/>
      <c r="G187"/>
      <c r="H187"/>
      <c r="I187"/>
      <c r="J187"/>
      <c r="K187"/>
      <c r="L187"/>
      <c r="M187"/>
      <c r="N187"/>
      <c r="O187"/>
      <c r="P187" s="72"/>
      <c r="Q187" s="72"/>
      <c r="R187" s="72"/>
      <c r="S187" s="72"/>
      <c r="T187" s="72"/>
      <c r="U187" s="72"/>
      <c r="V187" s="72"/>
      <c r="W187" s="72"/>
      <c r="X187" s="72"/>
      <c r="Y187" s="72"/>
      <c r="Z187" s="72"/>
      <c r="AA187" s="72"/>
    </row>
    <row r="188" spans="1:27" x14ac:dyDescent="0.35">
      <c r="A188"/>
      <c r="B188" s="97"/>
      <c r="C188"/>
      <c r="D188"/>
      <c r="E188" s="88"/>
      <c r="F188"/>
      <c r="G188"/>
      <c r="H188"/>
      <c r="I188"/>
      <c r="J188"/>
      <c r="K188"/>
      <c r="L188"/>
      <c r="M188"/>
      <c r="N188"/>
      <c r="O188"/>
      <c r="P188" s="72"/>
      <c r="Q188" s="72"/>
      <c r="R188" s="72"/>
      <c r="S188" s="72"/>
      <c r="T188" s="72"/>
      <c r="U188" s="72"/>
      <c r="V188" s="72"/>
      <c r="W188" s="72"/>
      <c r="X188" s="72"/>
      <c r="Y188" s="72"/>
      <c r="Z188" s="72"/>
      <c r="AA188" s="72"/>
    </row>
    <row r="189" spans="1:27" x14ac:dyDescent="0.35">
      <c r="A189"/>
      <c r="B189" s="97"/>
      <c r="C189"/>
      <c r="D189"/>
      <c r="E189" s="88"/>
      <c r="F189"/>
      <c r="G189"/>
      <c r="H189"/>
      <c r="I189"/>
      <c r="J189"/>
      <c r="K189"/>
      <c r="L189"/>
      <c r="M189"/>
      <c r="N189"/>
      <c r="O189"/>
      <c r="P189" s="72"/>
      <c r="Q189" s="72"/>
      <c r="R189" s="72"/>
      <c r="S189" s="72"/>
      <c r="T189" s="72"/>
      <c r="U189" s="72"/>
      <c r="V189" s="72"/>
      <c r="W189" s="72"/>
      <c r="X189" s="72"/>
      <c r="Y189" s="72"/>
      <c r="Z189" s="72"/>
      <c r="AA189" s="72"/>
    </row>
    <row r="190" spans="1:27" x14ac:dyDescent="0.35">
      <c r="A190"/>
      <c r="B190" s="97"/>
      <c r="C190"/>
      <c r="D190"/>
      <c r="E190" s="88"/>
      <c r="F190"/>
      <c r="G190"/>
      <c r="H190"/>
      <c r="I190"/>
      <c r="J190"/>
      <c r="K190"/>
      <c r="L190"/>
      <c r="M190"/>
      <c r="N190"/>
      <c r="O190"/>
      <c r="P190" s="72"/>
      <c r="Q190" s="72"/>
      <c r="R190" s="72"/>
      <c r="S190" s="72"/>
      <c r="T190" s="72"/>
      <c r="U190" s="72"/>
      <c r="V190" s="72"/>
      <c r="W190" s="72"/>
      <c r="X190" s="72"/>
      <c r="Y190" s="72"/>
      <c r="Z190" s="72"/>
      <c r="AA190" s="72"/>
    </row>
    <row r="191" spans="1:27" x14ac:dyDescent="0.35">
      <c r="A191"/>
      <c r="B191" s="97"/>
      <c r="C191"/>
      <c r="D191"/>
      <c r="E191" s="88"/>
      <c r="F191"/>
      <c r="G191"/>
      <c r="H191"/>
      <c r="I191"/>
      <c r="J191"/>
      <c r="K191"/>
      <c r="L191"/>
      <c r="M191"/>
      <c r="N191"/>
      <c r="O191"/>
      <c r="P191" s="72"/>
      <c r="Q191" s="72"/>
      <c r="R191" s="72"/>
      <c r="S191" s="72"/>
      <c r="T191" s="72"/>
      <c r="U191" s="72"/>
      <c r="V191" s="72"/>
      <c r="W191" s="72"/>
      <c r="X191" s="72"/>
      <c r="Y191" s="72"/>
      <c r="Z191" s="72"/>
      <c r="AA191" s="72"/>
    </row>
    <row r="192" spans="1:27" x14ac:dyDescent="0.35">
      <c r="A192"/>
      <c r="B192" s="97"/>
      <c r="C192"/>
      <c r="D192"/>
      <c r="E192" s="88"/>
      <c r="F192"/>
      <c r="G192"/>
      <c r="H192"/>
      <c r="I192"/>
      <c r="J192"/>
      <c r="K192"/>
      <c r="L192"/>
      <c r="M192"/>
      <c r="N192"/>
      <c r="O192"/>
      <c r="P192" s="72"/>
      <c r="Q192" s="72"/>
      <c r="R192" s="72"/>
      <c r="S192" s="72"/>
      <c r="T192" s="72"/>
      <c r="U192" s="72"/>
      <c r="V192" s="72"/>
      <c r="W192" s="72"/>
      <c r="X192" s="72"/>
      <c r="Y192" s="72"/>
      <c r="Z192" s="72"/>
      <c r="AA192" s="72"/>
    </row>
    <row r="193" spans="1:27" x14ac:dyDescent="0.35">
      <c r="A193"/>
      <c r="B193" s="97"/>
      <c r="C193"/>
      <c r="D193"/>
      <c r="E193" s="88"/>
      <c r="F193"/>
      <c r="G193"/>
      <c r="H193"/>
      <c r="I193"/>
      <c r="J193"/>
      <c r="K193"/>
      <c r="L193"/>
      <c r="M193"/>
      <c r="N193"/>
      <c r="O193"/>
      <c r="P193" s="72"/>
      <c r="Q193" s="72"/>
      <c r="R193" s="72"/>
      <c r="S193" s="72"/>
      <c r="T193" s="72"/>
      <c r="U193" s="72"/>
      <c r="V193" s="72"/>
      <c r="W193" s="72"/>
      <c r="X193" s="72"/>
      <c r="Y193" s="72"/>
      <c r="Z193" s="72"/>
      <c r="AA193" s="72"/>
    </row>
    <row r="194" spans="1:27" x14ac:dyDescent="0.35">
      <c r="A194"/>
      <c r="B194" s="97"/>
      <c r="C194"/>
      <c r="D194"/>
      <c r="E194" s="88"/>
      <c r="F194"/>
      <c r="G194"/>
      <c r="H194"/>
      <c r="I194"/>
      <c r="J194"/>
      <c r="K194"/>
      <c r="L194"/>
      <c r="M194"/>
      <c r="N194"/>
      <c r="O194"/>
      <c r="P194" s="72"/>
      <c r="Q194" s="72"/>
      <c r="R194" s="72"/>
      <c r="S194" s="72"/>
      <c r="T194" s="72"/>
      <c r="U194" s="72"/>
      <c r="V194" s="72"/>
      <c r="W194" s="72"/>
      <c r="X194" s="72"/>
      <c r="Y194" s="72"/>
      <c r="Z194" s="72"/>
      <c r="AA194" s="72"/>
    </row>
    <row r="195" spans="1:27" x14ac:dyDescent="0.35">
      <c r="A195"/>
      <c r="B195" s="97"/>
      <c r="C195"/>
      <c r="D195"/>
      <c r="E195" s="88"/>
      <c r="F195"/>
      <c r="G195"/>
      <c r="H195"/>
      <c r="I195"/>
      <c r="J195"/>
      <c r="K195"/>
      <c r="L195"/>
      <c r="M195"/>
      <c r="N195"/>
      <c r="O195"/>
      <c r="P195" s="72"/>
      <c r="Q195" s="72"/>
      <c r="R195" s="72"/>
      <c r="S195" s="72"/>
      <c r="T195" s="72"/>
      <c r="U195" s="72"/>
      <c r="V195" s="72"/>
      <c r="W195" s="72"/>
      <c r="X195" s="72"/>
      <c r="Y195" s="72"/>
      <c r="Z195" s="72"/>
      <c r="AA195" s="72"/>
    </row>
    <row r="196" spans="1:27" x14ac:dyDescent="0.35">
      <c r="A196"/>
      <c r="B196" s="97"/>
      <c r="C196"/>
      <c r="D196"/>
      <c r="E196" s="88"/>
      <c r="F196"/>
      <c r="G196"/>
      <c r="H196"/>
      <c r="I196"/>
      <c r="J196"/>
      <c r="K196"/>
      <c r="L196"/>
      <c r="M196"/>
      <c r="N196"/>
      <c r="O196"/>
      <c r="P196" s="72"/>
      <c r="Q196" s="72"/>
      <c r="R196" s="72"/>
      <c r="S196" s="72"/>
      <c r="T196" s="72"/>
      <c r="U196" s="72"/>
      <c r="V196" s="72"/>
      <c r="W196" s="72"/>
      <c r="X196" s="72"/>
      <c r="Y196" s="72"/>
      <c r="Z196" s="72"/>
      <c r="AA196" s="72"/>
    </row>
    <row r="197" spans="1:27" x14ac:dyDescent="0.35">
      <c r="A197"/>
      <c r="B197" s="97"/>
      <c r="C197"/>
      <c r="D197"/>
      <c r="E197" s="88"/>
      <c r="F197"/>
      <c r="G197"/>
      <c r="H197"/>
      <c r="I197"/>
      <c r="J197"/>
      <c r="K197"/>
      <c r="L197"/>
      <c r="M197"/>
      <c r="N197"/>
      <c r="O197"/>
      <c r="P197" s="72"/>
      <c r="Q197" s="72"/>
      <c r="R197" s="72"/>
      <c r="S197" s="72"/>
      <c r="T197" s="72"/>
      <c r="U197" s="72"/>
      <c r="V197" s="72"/>
      <c r="W197" s="72"/>
      <c r="X197" s="72"/>
      <c r="Y197" s="72"/>
      <c r="Z197" s="72"/>
      <c r="AA197" s="72"/>
    </row>
    <row r="198" spans="1:27" x14ac:dyDescent="0.35">
      <c r="A198"/>
      <c r="B198" s="97"/>
      <c r="C198"/>
      <c r="D198"/>
      <c r="E198" s="88"/>
      <c r="F198"/>
      <c r="G198"/>
      <c r="H198"/>
      <c r="I198"/>
      <c r="J198"/>
      <c r="K198"/>
      <c r="L198"/>
      <c r="M198"/>
      <c r="N198"/>
      <c r="O198"/>
      <c r="P198" s="72"/>
      <c r="Q198" s="72"/>
      <c r="R198" s="72"/>
      <c r="S198" s="72"/>
      <c r="T198" s="72"/>
      <c r="U198" s="72"/>
      <c r="V198" s="72"/>
      <c r="W198" s="72"/>
      <c r="X198" s="72"/>
      <c r="Y198" s="72"/>
      <c r="Z198" s="72"/>
      <c r="AA198" s="72"/>
    </row>
    <row r="199" spans="1:27" x14ac:dyDescent="0.35">
      <c r="A199"/>
      <c r="B199" s="97"/>
      <c r="C199"/>
      <c r="D199"/>
      <c r="E199" s="88"/>
      <c r="F199"/>
      <c r="G199"/>
      <c r="H199"/>
      <c r="I199"/>
      <c r="J199"/>
      <c r="K199"/>
      <c r="L199"/>
      <c r="M199"/>
      <c r="N199"/>
      <c r="O199"/>
      <c r="P199" s="72"/>
      <c r="Q199" s="72"/>
      <c r="R199" s="72"/>
      <c r="S199" s="72"/>
      <c r="T199" s="72"/>
      <c r="U199" s="72"/>
      <c r="V199" s="72"/>
      <c r="W199" s="72"/>
      <c r="X199" s="72"/>
      <c r="Y199" s="72"/>
      <c r="Z199" s="72"/>
      <c r="AA199" s="72"/>
    </row>
    <row r="200" spans="1:27" x14ac:dyDescent="0.35">
      <c r="A200"/>
      <c r="B200" s="97"/>
      <c r="C200"/>
      <c r="D200"/>
      <c r="E200" s="88"/>
      <c r="F200"/>
      <c r="G200"/>
      <c r="H200"/>
      <c r="I200"/>
      <c r="J200"/>
      <c r="K200"/>
      <c r="L200"/>
      <c r="M200"/>
      <c r="N200"/>
      <c r="O200"/>
      <c r="P200" s="72"/>
      <c r="Q200" s="72"/>
      <c r="R200" s="72"/>
      <c r="S200" s="72"/>
      <c r="T200" s="72"/>
      <c r="U200" s="72"/>
      <c r="V200" s="72"/>
      <c r="W200" s="72"/>
      <c r="X200" s="72"/>
      <c r="Y200" s="72"/>
      <c r="Z200" s="72"/>
      <c r="AA200" s="72"/>
    </row>
    <row r="201" spans="1:27" x14ac:dyDescent="0.35">
      <c r="A201"/>
      <c r="B201" s="97"/>
      <c r="C201"/>
      <c r="D201"/>
      <c r="E201" s="88"/>
      <c r="F201"/>
      <c r="G201"/>
      <c r="H201"/>
      <c r="I201"/>
      <c r="J201"/>
      <c r="K201"/>
      <c r="L201"/>
      <c r="M201"/>
      <c r="N201"/>
      <c r="O201"/>
      <c r="P201" s="72"/>
      <c r="Q201" s="72"/>
      <c r="R201" s="72"/>
      <c r="S201" s="72"/>
      <c r="T201" s="72"/>
      <c r="U201" s="72"/>
      <c r="V201" s="72"/>
      <c r="W201" s="72"/>
      <c r="X201" s="72"/>
      <c r="Y201" s="72"/>
      <c r="Z201" s="72"/>
      <c r="AA201" s="72"/>
    </row>
    <row r="202" spans="1:27" x14ac:dyDescent="0.35">
      <c r="A202"/>
      <c r="B202" s="97"/>
      <c r="C202"/>
      <c r="D202"/>
      <c r="E202" s="88"/>
      <c r="F202"/>
      <c r="G202"/>
      <c r="H202"/>
      <c r="I202"/>
      <c r="J202"/>
      <c r="K202"/>
      <c r="L202"/>
      <c r="M202"/>
      <c r="N202"/>
      <c r="O202"/>
      <c r="P202" s="72"/>
      <c r="Q202" s="72"/>
      <c r="R202" s="72"/>
      <c r="S202" s="72"/>
      <c r="T202" s="72"/>
      <c r="U202" s="72"/>
      <c r="V202" s="72"/>
      <c r="W202" s="72"/>
      <c r="X202" s="72"/>
      <c r="Y202" s="72"/>
      <c r="Z202" s="72"/>
      <c r="AA202" s="72"/>
    </row>
    <row r="203" spans="1:27" x14ac:dyDescent="0.35">
      <c r="A203"/>
      <c r="B203" s="97"/>
      <c r="C203"/>
      <c r="D203"/>
      <c r="E203" s="88"/>
      <c r="F203"/>
      <c r="G203"/>
      <c r="H203"/>
      <c r="I203"/>
      <c r="J203"/>
      <c r="K203"/>
      <c r="L203"/>
      <c r="M203"/>
      <c r="N203"/>
      <c r="O203"/>
      <c r="P203" s="72"/>
      <c r="Q203" s="72"/>
      <c r="R203" s="72"/>
      <c r="S203" s="72"/>
      <c r="T203" s="72"/>
      <c r="U203" s="72"/>
      <c r="V203" s="72"/>
      <c r="W203" s="72"/>
      <c r="X203" s="72"/>
      <c r="Y203" s="72"/>
      <c r="Z203" s="72"/>
      <c r="AA203" s="72"/>
    </row>
    <row r="204" spans="1:27" x14ac:dyDescent="0.35">
      <c r="A204"/>
      <c r="B204" s="97"/>
      <c r="C204"/>
      <c r="D204"/>
      <c r="E204" s="88"/>
      <c r="F204"/>
      <c r="G204"/>
      <c r="H204"/>
      <c r="I204"/>
      <c r="J204"/>
      <c r="K204"/>
      <c r="L204"/>
      <c r="M204"/>
      <c r="N204"/>
      <c r="O204"/>
      <c r="P204" s="72"/>
      <c r="Q204" s="72"/>
      <c r="R204" s="72"/>
      <c r="S204" s="72"/>
      <c r="T204" s="72"/>
      <c r="U204" s="72"/>
      <c r="V204" s="72"/>
      <c r="W204" s="72"/>
      <c r="X204" s="72"/>
      <c r="Y204" s="72"/>
      <c r="Z204" s="72"/>
      <c r="AA204" s="72"/>
    </row>
    <row r="205" spans="1:27" x14ac:dyDescent="0.35">
      <c r="A205"/>
      <c r="B205" s="97"/>
      <c r="C205"/>
      <c r="D205"/>
      <c r="E205" s="88"/>
      <c r="F205"/>
      <c r="G205"/>
      <c r="H205"/>
      <c r="I205"/>
      <c r="J205"/>
      <c r="K205"/>
      <c r="L205"/>
      <c r="M205"/>
      <c r="N205"/>
      <c r="O205"/>
      <c r="P205" s="72"/>
      <c r="Q205" s="72"/>
      <c r="R205" s="72"/>
      <c r="S205" s="72"/>
      <c r="T205" s="72"/>
      <c r="U205" s="72"/>
      <c r="V205" s="72"/>
      <c r="W205" s="72"/>
      <c r="X205" s="72"/>
      <c r="Y205" s="72"/>
      <c r="Z205" s="72"/>
      <c r="AA205" s="72"/>
    </row>
    <row r="206" spans="1:27" x14ac:dyDescent="0.35">
      <c r="A206"/>
      <c r="B206" s="97"/>
      <c r="C206"/>
      <c r="D206"/>
      <c r="E206" s="88"/>
      <c r="F206"/>
      <c r="G206"/>
      <c r="H206"/>
      <c r="I206"/>
      <c r="J206"/>
      <c r="K206"/>
      <c r="L206"/>
      <c r="M206"/>
      <c r="N206"/>
      <c r="O206"/>
      <c r="P206" s="72"/>
      <c r="Q206" s="72"/>
      <c r="R206" s="72"/>
      <c r="S206" s="72"/>
      <c r="T206" s="72"/>
      <c r="U206" s="72"/>
      <c r="V206" s="72"/>
      <c r="W206" s="72"/>
      <c r="X206" s="72"/>
      <c r="Y206" s="72"/>
      <c r="Z206" s="72"/>
      <c r="AA206" s="72"/>
    </row>
    <row r="207" spans="1:27" x14ac:dyDescent="0.35">
      <c r="A207"/>
      <c r="B207" s="97"/>
      <c r="C207"/>
      <c r="D207"/>
      <c r="E207" s="88"/>
      <c r="F207"/>
      <c r="G207"/>
      <c r="H207"/>
      <c r="I207"/>
      <c r="J207"/>
      <c r="K207"/>
      <c r="L207"/>
      <c r="M207"/>
      <c r="N207"/>
      <c r="O207"/>
      <c r="P207" s="72"/>
      <c r="Q207" s="72"/>
      <c r="R207" s="72"/>
      <c r="S207" s="72"/>
      <c r="T207" s="72"/>
      <c r="U207" s="72"/>
      <c r="V207" s="72"/>
      <c r="W207" s="72"/>
      <c r="X207" s="72"/>
      <c r="Y207" s="72"/>
      <c r="Z207" s="72"/>
      <c r="AA207" s="72"/>
    </row>
    <row r="208" spans="1:27" x14ac:dyDescent="0.35">
      <c r="A208"/>
      <c r="B208" s="97"/>
      <c r="C208"/>
      <c r="D208"/>
      <c r="E208" s="88"/>
      <c r="F208"/>
      <c r="G208"/>
      <c r="H208"/>
      <c r="I208"/>
      <c r="J208"/>
      <c r="K208"/>
      <c r="L208"/>
      <c r="M208"/>
      <c r="N208"/>
      <c r="O208"/>
      <c r="P208" s="72"/>
      <c r="Q208" s="72"/>
      <c r="R208" s="72"/>
      <c r="S208" s="72"/>
      <c r="T208" s="72"/>
      <c r="U208" s="72"/>
      <c r="V208" s="72"/>
      <c r="W208" s="72"/>
      <c r="X208" s="72"/>
      <c r="Y208" s="72"/>
      <c r="Z208" s="72"/>
      <c r="AA208" s="72"/>
    </row>
    <row r="209" spans="1:27" x14ac:dyDescent="0.35">
      <c r="A209"/>
      <c r="B209" s="97"/>
      <c r="C209"/>
      <c r="D209"/>
      <c r="E209" s="88"/>
      <c r="F209"/>
      <c r="G209"/>
      <c r="H209"/>
      <c r="I209"/>
      <c r="J209"/>
      <c r="K209"/>
      <c r="L209"/>
      <c r="M209"/>
      <c r="N209"/>
      <c r="O209"/>
      <c r="P209" s="72"/>
      <c r="Q209" s="72"/>
      <c r="R209" s="72"/>
      <c r="S209" s="72"/>
      <c r="T209" s="72"/>
      <c r="U209" s="72"/>
      <c r="V209" s="72"/>
      <c r="W209" s="72"/>
      <c r="X209" s="72"/>
      <c r="Y209" s="72"/>
      <c r="Z209" s="72"/>
      <c r="AA209" s="72"/>
    </row>
    <row r="210" spans="1:27" x14ac:dyDescent="0.35">
      <c r="A210"/>
      <c r="B210" s="97"/>
      <c r="C210"/>
      <c r="D210"/>
      <c r="E210" s="88"/>
      <c r="F210"/>
      <c r="G210"/>
      <c r="H210"/>
      <c r="I210"/>
      <c r="J210"/>
      <c r="K210"/>
      <c r="L210"/>
      <c r="M210"/>
      <c r="N210"/>
      <c r="O210"/>
      <c r="P210" s="72"/>
      <c r="Q210" s="72"/>
      <c r="R210" s="72"/>
      <c r="S210" s="72"/>
      <c r="T210" s="72"/>
      <c r="U210" s="72"/>
      <c r="V210" s="72"/>
      <c r="W210" s="72"/>
      <c r="X210" s="72"/>
      <c r="Y210" s="72"/>
      <c r="Z210" s="72"/>
      <c r="AA210" s="72"/>
    </row>
    <row r="211" spans="1:27" x14ac:dyDescent="0.35">
      <c r="A211"/>
      <c r="B211" s="97"/>
      <c r="C211"/>
      <c r="D211"/>
      <c r="E211" s="88"/>
      <c r="F211"/>
      <c r="G211"/>
      <c r="H211"/>
      <c r="I211"/>
      <c r="J211"/>
      <c r="K211"/>
      <c r="L211"/>
      <c r="M211"/>
      <c r="N211"/>
      <c r="O211"/>
      <c r="P211" s="72"/>
      <c r="Q211" s="72"/>
      <c r="R211" s="72"/>
      <c r="S211" s="72"/>
      <c r="T211" s="72"/>
      <c r="U211" s="72"/>
      <c r="V211" s="72"/>
      <c r="W211" s="72"/>
      <c r="X211" s="72"/>
      <c r="Y211" s="72"/>
      <c r="Z211" s="72"/>
      <c r="AA211" s="72"/>
    </row>
    <row r="212" spans="1:27" x14ac:dyDescent="0.35">
      <c r="A212"/>
      <c r="B212" s="97"/>
      <c r="C212"/>
      <c r="D212"/>
      <c r="E212" s="88"/>
      <c r="F212"/>
      <c r="G212"/>
      <c r="H212"/>
      <c r="I212"/>
      <c r="J212"/>
      <c r="K212"/>
      <c r="L212"/>
      <c r="M212"/>
      <c r="N212"/>
      <c r="O212"/>
      <c r="P212" s="72"/>
      <c r="Q212" s="72"/>
      <c r="R212" s="72"/>
      <c r="S212" s="72"/>
      <c r="T212" s="72"/>
      <c r="U212" s="72"/>
      <c r="V212" s="72"/>
      <c r="W212" s="72"/>
      <c r="X212" s="72"/>
      <c r="Y212" s="72"/>
      <c r="Z212" s="72"/>
      <c r="AA212" s="72"/>
    </row>
    <row r="213" spans="1:27" x14ac:dyDescent="0.35">
      <c r="A213"/>
      <c r="B213" s="97"/>
      <c r="C213"/>
      <c r="D213"/>
      <c r="E213" s="88"/>
      <c r="F213"/>
      <c r="G213"/>
      <c r="H213"/>
      <c r="I213"/>
      <c r="J213"/>
      <c r="K213"/>
      <c r="L213"/>
      <c r="M213"/>
      <c r="N213"/>
      <c r="O213"/>
      <c r="P213" s="72"/>
      <c r="Q213" s="72"/>
      <c r="R213" s="72"/>
      <c r="S213" s="72"/>
      <c r="T213" s="72"/>
      <c r="U213" s="72"/>
      <c r="V213" s="72"/>
      <c r="W213" s="72"/>
      <c r="X213" s="72"/>
      <c r="Y213" s="72"/>
      <c r="Z213" s="72"/>
      <c r="AA213" s="72"/>
    </row>
    <row r="214" spans="1:27" x14ac:dyDescent="0.35">
      <c r="A214"/>
      <c r="B214" s="97"/>
      <c r="C214"/>
      <c r="D214"/>
      <c r="E214" s="88"/>
      <c r="F214"/>
      <c r="G214"/>
      <c r="H214"/>
      <c r="I214"/>
      <c r="J214"/>
      <c r="K214"/>
      <c r="L214"/>
      <c r="M214"/>
      <c r="N214"/>
      <c r="O214"/>
      <c r="P214" s="72"/>
      <c r="Q214" s="72"/>
      <c r="R214" s="72"/>
      <c r="S214" s="72"/>
      <c r="T214" s="72"/>
      <c r="U214" s="72"/>
      <c r="V214" s="72"/>
      <c r="W214" s="72"/>
      <c r="X214" s="72"/>
      <c r="Y214" s="72"/>
      <c r="Z214" s="72"/>
      <c r="AA214" s="72"/>
    </row>
    <row r="215" spans="1:27" x14ac:dyDescent="0.35">
      <c r="A215"/>
      <c r="B215" s="97"/>
      <c r="C215"/>
      <c r="D215"/>
      <c r="E215" s="88"/>
      <c r="F215"/>
      <c r="G215"/>
      <c r="H215"/>
      <c r="I215"/>
      <c r="J215"/>
      <c r="K215"/>
      <c r="L215"/>
      <c r="M215"/>
      <c r="N215"/>
      <c r="O215"/>
      <c r="P215" s="72"/>
      <c r="Q215" s="72"/>
      <c r="R215" s="72"/>
      <c r="S215" s="72"/>
      <c r="T215" s="72"/>
      <c r="U215" s="72"/>
      <c r="V215" s="72"/>
      <c r="W215" s="72"/>
      <c r="X215" s="72"/>
      <c r="Y215" s="72"/>
      <c r="Z215" s="72"/>
      <c r="AA215" s="72"/>
    </row>
    <row r="216" spans="1:27" x14ac:dyDescent="0.35">
      <c r="A216"/>
      <c r="B216" s="97"/>
      <c r="C216"/>
      <c r="D216"/>
      <c r="E216" s="88"/>
      <c r="F216"/>
      <c r="G216"/>
      <c r="H216"/>
      <c r="I216"/>
      <c r="J216"/>
      <c r="K216"/>
      <c r="L216"/>
      <c r="M216"/>
      <c r="N216"/>
      <c r="O216"/>
      <c r="P216" s="72"/>
      <c r="Q216" s="72"/>
      <c r="R216" s="72"/>
      <c r="S216" s="72"/>
      <c r="T216" s="72"/>
      <c r="U216" s="72"/>
      <c r="V216" s="72"/>
      <c r="W216" s="72"/>
      <c r="X216" s="72"/>
      <c r="Y216" s="72"/>
      <c r="Z216" s="72"/>
      <c r="AA216" s="72"/>
    </row>
    <row r="217" spans="1:27" x14ac:dyDescent="0.35">
      <c r="A217"/>
      <c r="B217" s="97"/>
      <c r="C217"/>
      <c r="D217"/>
      <c r="E217" s="88"/>
      <c r="F217"/>
      <c r="G217"/>
      <c r="H217"/>
      <c r="I217"/>
      <c r="J217"/>
      <c r="K217"/>
      <c r="L217"/>
      <c r="M217"/>
      <c r="N217"/>
      <c r="O217"/>
      <c r="P217" s="72"/>
      <c r="Q217" s="72"/>
      <c r="R217" s="72"/>
      <c r="S217" s="72"/>
      <c r="T217" s="72"/>
      <c r="U217" s="72"/>
      <c r="V217" s="72"/>
      <c r="W217" s="72"/>
      <c r="X217" s="72"/>
      <c r="Y217" s="72"/>
      <c r="Z217" s="72"/>
      <c r="AA217" s="72"/>
    </row>
    <row r="218" spans="1:27" x14ac:dyDescent="0.35">
      <c r="A218"/>
      <c r="B218" s="97"/>
      <c r="C218"/>
      <c r="D218"/>
      <c r="E218" s="88"/>
      <c r="F218"/>
      <c r="G218"/>
      <c r="H218"/>
      <c r="I218"/>
      <c r="J218"/>
      <c r="K218"/>
      <c r="L218"/>
      <c r="M218"/>
      <c r="N218"/>
      <c r="O218"/>
      <c r="P218" s="72"/>
      <c r="Q218" s="72"/>
      <c r="R218" s="72"/>
      <c r="S218" s="72"/>
      <c r="T218" s="72"/>
      <c r="U218" s="72"/>
      <c r="V218" s="72"/>
      <c r="W218" s="72"/>
      <c r="X218" s="72"/>
      <c r="Y218" s="72"/>
      <c r="Z218" s="72"/>
      <c r="AA218" s="72"/>
    </row>
    <row r="219" spans="1:27" x14ac:dyDescent="0.35">
      <c r="A219"/>
      <c r="B219" s="97"/>
      <c r="C219"/>
      <c r="D219"/>
      <c r="E219" s="88"/>
      <c r="F219"/>
      <c r="G219"/>
      <c r="H219"/>
      <c r="I219"/>
      <c r="J219"/>
      <c r="K219"/>
      <c r="L219"/>
      <c r="M219"/>
      <c r="N219"/>
      <c r="O219"/>
      <c r="P219" s="72"/>
      <c r="Q219" s="72"/>
      <c r="R219" s="72"/>
      <c r="S219" s="72"/>
      <c r="T219" s="72"/>
      <c r="U219" s="72"/>
      <c r="V219" s="72"/>
      <c r="W219" s="72"/>
      <c r="X219" s="72"/>
      <c r="Y219" s="72"/>
      <c r="Z219" s="72"/>
      <c r="AA219" s="72"/>
    </row>
    <row r="220" spans="1:27" x14ac:dyDescent="0.35">
      <c r="A220"/>
      <c r="B220" s="97"/>
      <c r="C220"/>
      <c r="D220"/>
      <c r="E220" s="88"/>
      <c r="F220"/>
      <c r="G220"/>
      <c r="H220"/>
      <c r="I220"/>
      <c r="J220"/>
      <c r="K220"/>
      <c r="L220"/>
      <c r="M220"/>
      <c r="N220"/>
      <c r="O220"/>
      <c r="P220" s="72"/>
      <c r="Q220" s="72"/>
      <c r="R220" s="72"/>
      <c r="S220" s="72"/>
      <c r="T220" s="72"/>
      <c r="U220" s="72"/>
      <c r="V220" s="72"/>
      <c r="W220" s="72"/>
      <c r="X220" s="72"/>
      <c r="Y220" s="72"/>
      <c r="Z220" s="72"/>
      <c r="AA220" s="72"/>
    </row>
    <row r="221" spans="1:27" x14ac:dyDescent="0.35">
      <c r="A221"/>
      <c r="B221" s="97"/>
      <c r="C221"/>
      <c r="D221"/>
      <c r="E221" s="88"/>
      <c r="F221"/>
      <c r="G221"/>
      <c r="H221"/>
      <c r="I221"/>
      <c r="J221"/>
      <c r="K221"/>
      <c r="L221"/>
      <c r="M221"/>
      <c r="N221"/>
      <c r="O221"/>
      <c r="P221" s="72"/>
      <c r="Q221" s="72"/>
      <c r="R221" s="72"/>
      <c r="S221" s="72"/>
      <c r="T221" s="72"/>
      <c r="U221" s="72"/>
      <c r="V221" s="72"/>
      <c r="W221" s="72"/>
      <c r="X221" s="72"/>
      <c r="Y221" s="72"/>
      <c r="Z221" s="72"/>
      <c r="AA221" s="72"/>
    </row>
    <row r="222" spans="1:27" x14ac:dyDescent="0.35">
      <c r="A222"/>
      <c r="B222" s="97"/>
      <c r="C222"/>
      <c r="D222"/>
      <c r="E222" s="88"/>
      <c r="F222"/>
      <c r="G222"/>
      <c r="H222"/>
      <c r="I222"/>
      <c r="J222"/>
      <c r="K222"/>
      <c r="L222"/>
      <c r="M222"/>
      <c r="N222"/>
      <c r="O222"/>
      <c r="P222" s="72"/>
      <c r="Q222" s="72"/>
      <c r="R222" s="72"/>
      <c r="S222" s="72"/>
      <c r="T222" s="72"/>
      <c r="U222" s="72"/>
      <c r="V222" s="72"/>
      <c r="W222" s="72"/>
      <c r="X222" s="72"/>
      <c r="Y222" s="72"/>
      <c r="Z222" s="72"/>
      <c r="AA222" s="72"/>
    </row>
    <row r="223" spans="1:27" x14ac:dyDescent="0.35">
      <c r="A223"/>
      <c r="B223" s="97"/>
      <c r="C223"/>
      <c r="D223"/>
      <c r="E223" s="88"/>
      <c r="F223"/>
      <c r="G223"/>
      <c r="H223"/>
      <c r="I223"/>
      <c r="J223"/>
      <c r="K223"/>
      <c r="L223"/>
      <c r="M223"/>
      <c r="N223"/>
      <c r="O223"/>
      <c r="P223" s="72"/>
      <c r="Q223" s="72"/>
      <c r="R223" s="72"/>
      <c r="S223" s="72"/>
      <c r="T223" s="72"/>
      <c r="U223" s="72"/>
      <c r="V223" s="72"/>
      <c r="W223" s="72"/>
      <c r="X223" s="72"/>
      <c r="Y223" s="72"/>
      <c r="Z223" s="72"/>
      <c r="AA223" s="72"/>
    </row>
    <row r="224" spans="1:27" x14ac:dyDescent="0.35">
      <c r="A224"/>
      <c r="B224" s="97"/>
      <c r="C224"/>
      <c r="D224"/>
      <c r="E224" s="88"/>
      <c r="F224"/>
      <c r="G224"/>
      <c r="H224"/>
      <c r="I224"/>
      <c r="J224"/>
      <c r="K224"/>
      <c r="L224"/>
      <c r="M224"/>
      <c r="N224"/>
      <c r="O224"/>
      <c r="P224" s="72"/>
      <c r="Q224" s="72"/>
      <c r="R224" s="72"/>
      <c r="S224" s="72"/>
      <c r="T224" s="72"/>
      <c r="U224" s="72"/>
      <c r="V224" s="72"/>
      <c r="W224" s="72"/>
      <c r="X224" s="72"/>
      <c r="Y224" s="72"/>
      <c r="Z224" s="72"/>
      <c r="AA224" s="72"/>
    </row>
    <row r="225" spans="1:27" x14ac:dyDescent="0.35">
      <c r="A225"/>
      <c r="B225" s="97"/>
      <c r="C225"/>
      <c r="D225"/>
      <c r="E225" s="88"/>
      <c r="F225"/>
      <c r="G225"/>
      <c r="H225"/>
      <c r="I225"/>
      <c r="J225"/>
      <c r="K225"/>
      <c r="L225"/>
      <c r="M225"/>
      <c r="N225"/>
      <c r="O225"/>
      <c r="P225" s="72"/>
      <c r="Q225" s="72"/>
      <c r="R225" s="72"/>
      <c r="S225" s="72"/>
      <c r="T225" s="72"/>
      <c r="U225" s="72"/>
      <c r="V225" s="72"/>
      <c r="W225" s="72"/>
      <c r="X225" s="72"/>
      <c r="Y225" s="72"/>
      <c r="Z225" s="72"/>
      <c r="AA225" s="72"/>
    </row>
    <row r="226" spans="1:27" x14ac:dyDescent="0.35">
      <c r="A226"/>
      <c r="B226" s="97"/>
      <c r="C226"/>
      <c r="D226"/>
      <c r="E226" s="88"/>
      <c r="F226"/>
      <c r="G226"/>
      <c r="H226"/>
      <c r="I226"/>
      <c r="J226"/>
      <c r="K226"/>
      <c r="L226"/>
      <c r="M226"/>
      <c r="N226"/>
      <c r="O226"/>
      <c r="P226" s="72"/>
      <c r="Q226" s="72"/>
      <c r="R226" s="72"/>
      <c r="S226" s="72"/>
      <c r="T226" s="72"/>
      <c r="U226" s="72"/>
      <c r="V226" s="72"/>
      <c r="W226" s="72"/>
      <c r="X226" s="72"/>
      <c r="Y226" s="72"/>
      <c r="Z226" s="72"/>
      <c r="AA226" s="72"/>
    </row>
    <row r="227" spans="1:27" x14ac:dyDescent="0.35">
      <c r="A227"/>
      <c r="B227" s="97"/>
      <c r="C227"/>
      <c r="D227"/>
      <c r="E227" s="88"/>
      <c r="F227"/>
      <c r="G227"/>
      <c r="H227"/>
      <c r="I227"/>
      <c r="J227"/>
      <c r="K227"/>
      <c r="L227"/>
      <c r="M227"/>
      <c r="N227"/>
      <c r="O227"/>
      <c r="P227" s="72"/>
      <c r="Q227" s="72"/>
      <c r="R227" s="72"/>
      <c r="S227" s="72"/>
      <c r="T227" s="72"/>
      <c r="U227" s="72"/>
      <c r="V227" s="72"/>
      <c r="W227" s="72"/>
      <c r="X227" s="72"/>
      <c r="Y227" s="72"/>
      <c r="Z227" s="72"/>
      <c r="AA227" s="72"/>
    </row>
    <row r="228" spans="1:27" x14ac:dyDescent="0.35">
      <c r="A228"/>
      <c r="B228" s="97"/>
      <c r="C228"/>
      <c r="D228"/>
      <c r="E228" s="88"/>
      <c r="F228"/>
      <c r="G228"/>
      <c r="H228"/>
      <c r="I228"/>
      <c r="J228"/>
      <c r="K228"/>
      <c r="L228"/>
      <c r="M228"/>
      <c r="N228"/>
      <c r="O228"/>
      <c r="P228" s="72"/>
      <c r="Q228" s="72"/>
      <c r="R228" s="72"/>
      <c r="S228" s="72"/>
      <c r="T228" s="72"/>
      <c r="U228" s="72"/>
      <c r="V228" s="72"/>
      <c r="W228" s="72"/>
      <c r="X228" s="72"/>
      <c r="Y228" s="72"/>
      <c r="Z228" s="72"/>
      <c r="AA228" s="72"/>
    </row>
    <row r="229" spans="1:27" x14ac:dyDescent="0.35">
      <c r="A229"/>
      <c r="B229" s="97"/>
      <c r="C229"/>
      <c r="D229"/>
      <c r="E229" s="88"/>
      <c r="F229"/>
      <c r="G229"/>
      <c r="H229"/>
      <c r="I229"/>
      <c r="J229"/>
      <c r="K229"/>
      <c r="L229"/>
      <c r="M229"/>
      <c r="N229"/>
      <c r="O229"/>
      <c r="P229" s="72"/>
      <c r="Q229" s="72"/>
      <c r="R229" s="72"/>
      <c r="S229" s="72"/>
      <c r="T229" s="72"/>
      <c r="U229" s="72"/>
      <c r="V229" s="72"/>
      <c r="W229" s="72"/>
      <c r="X229" s="72"/>
      <c r="Y229" s="72"/>
      <c r="Z229" s="72"/>
      <c r="AA229" s="72"/>
    </row>
    <row r="230" spans="1:27" x14ac:dyDescent="0.35">
      <c r="A230"/>
      <c r="B230" s="97"/>
      <c r="C230"/>
      <c r="D230"/>
      <c r="E230" s="88"/>
      <c r="F230"/>
      <c r="G230"/>
      <c r="H230"/>
      <c r="I230"/>
      <c r="J230"/>
      <c r="K230"/>
      <c r="L230"/>
      <c r="M230"/>
      <c r="N230"/>
      <c r="O230"/>
      <c r="P230" s="72"/>
      <c r="Q230" s="72"/>
      <c r="R230" s="72"/>
      <c r="S230" s="72"/>
      <c r="T230" s="72"/>
      <c r="U230" s="72"/>
      <c r="V230" s="72"/>
      <c r="W230" s="72"/>
      <c r="X230" s="72"/>
      <c r="Y230" s="72"/>
      <c r="Z230" s="72"/>
      <c r="AA230" s="72"/>
    </row>
    <row r="231" spans="1:27" x14ac:dyDescent="0.35">
      <c r="A231"/>
      <c r="B231" s="97"/>
      <c r="C231"/>
      <c r="D231"/>
      <c r="E231" s="88"/>
      <c r="F231"/>
      <c r="G231"/>
      <c r="H231"/>
      <c r="I231"/>
      <c r="J231"/>
      <c r="K231"/>
      <c r="L231"/>
      <c r="M231"/>
      <c r="N231"/>
      <c r="O231"/>
      <c r="P231" s="72"/>
      <c r="Q231" s="72"/>
      <c r="R231" s="72"/>
      <c r="S231" s="72"/>
      <c r="T231" s="72"/>
      <c r="U231" s="72"/>
      <c r="V231" s="72"/>
      <c r="W231" s="72"/>
      <c r="X231" s="72"/>
      <c r="Y231" s="72"/>
      <c r="Z231" s="72"/>
      <c r="AA231" s="72"/>
    </row>
    <row r="232" spans="1:27" x14ac:dyDescent="0.35">
      <c r="A232"/>
      <c r="B232" s="97"/>
      <c r="C232"/>
      <c r="D232"/>
      <c r="E232" s="88"/>
      <c r="F232"/>
      <c r="G232"/>
      <c r="H232"/>
      <c r="I232"/>
      <c r="J232"/>
      <c r="K232"/>
      <c r="L232"/>
      <c r="M232"/>
      <c r="N232"/>
      <c r="O232"/>
      <c r="P232" s="72"/>
      <c r="Q232" s="72"/>
      <c r="R232" s="72"/>
      <c r="S232" s="72"/>
      <c r="T232" s="72"/>
      <c r="U232" s="72"/>
      <c r="V232" s="72"/>
      <c r="W232" s="72"/>
      <c r="X232" s="72"/>
      <c r="Y232" s="72"/>
      <c r="Z232" s="72"/>
      <c r="AA232" s="72"/>
    </row>
    <row r="233" spans="1:27" x14ac:dyDescent="0.35">
      <c r="A233"/>
      <c r="B233" s="97"/>
      <c r="C233"/>
      <c r="D233"/>
      <c r="E233" s="88"/>
      <c r="F233"/>
      <c r="G233"/>
      <c r="H233"/>
      <c r="I233"/>
      <c r="J233"/>
      <c r="K233"/>
      <c r="L233"/>
      <c r="M233"/>
      <c r="N233"/>
      <c r="O233"/>
      <c r="P233" s="72"/>
      <c r="Q233" s="72"/>
      <c r="R233" s="72"/>
      <c r="S233" s="72"/>
      <c r="T233" s="72"/>
      <c r="U233" s="72"/>
      <c r="V233" s="72"/>
      <c r="W233" s="72"/>
      <c r="X233" s="72"/>
      <c r="Y233" s="72"/>
      <c r="Z233" s="72"/>
      <c r="AA233" s="72"/>
    </row>
    <row r="234" spans="1:27" x14ac:dyDescent="0.35">
      <c r="A234"/>
      <c r="B234" s="97"/>
      <c r="C234"/>
      <c r="D234"/>
      <c r="E234" s="88"/>
      <c r="F234"/>
      <c r="G234"/>
      <c r="H234"/>
      <c r="I234"/>
      <c r="J234"/>
      <c r="K234"/>
      <c r="L234"/>
      <c r="M234"/>
      <c r="N234"/>
      <c r="O234"/>
      <c r="P234" s="72"/>
      <c r="Q234" s="72"/>
      <c r="R234" s="72"/>
      <c r="S234" s="72"/>
      <c r="T234" s="72"/>
      <c r="U234" s="72"/>
      <c r="V234" s="72"/>
      <c r="W234" s="72"/>
      <c r="X234" s="72"/>
      <c r="Y234" s="72"/>
      <c r="Z234" s="72"/>
      <c r="AA234" s="72"/>
    </row>
    <row r="235" spans="1:27" x14ac:dyDescent="0.35">
      <c r="A235"/>
      <c r="B235" s="97"/>
      <c r="C235"/>
      <c r="D235"/>
      <c r="E235" s="88"/>
      <c r="F235"/>
      <c r="G235"/>
      <c r="H235"/>
      <c r="I235"/>
      <c r="J235"/>
      <c r="K235"/>
      <c r="L235"/>
      <c r="M235"/>
      <c r="N235"/>
      <c r="O235"/>
      <c r="P235" s="72"/>
      <c r="Q235" s="72"/>
      <c r="R235" s="72"/>
      <c r="S235" s="72"/>
      <c r="T235" s="72"/>
      <c r="U235" s="72"/>
      <c r="V235" s="72"/>
      <c r="W235" s="72"/>
      <c r="X235" s="72"/>
      <c r="Y235" s="72"/>
      <c r="Z235" s="72"/>
      <c r="AA235" s="72"/>
    </row>
    <row r="236" spans="1:27" x14ac:dyDescent="0.35">
      <c r="A236"/>
      <c r="B236" s="97"/>
      <c r="C236"/>
      <c r="D236"/>
      <c r="E236" s="88"/>
      <c r="F236"/>
      <c r="G236"/>
      <c r="H236"/>
      <c r="I236"/>
      <c r="J236"/>
      <c r="K236"/>
      <c r="L236"/>
      <c r="M236"/>
      <c r="N236"/>
      <c r="O236"/>
      <c r="P236" s="72"/>
      <c r="Q236" s="72"/>
      <c r="R236" s="72"/>
      <c r="S236" s="72"/>
      <c r="T236" s="72"/>
      <c r="U236" s="72"/>
      <c r="V236" s="72"/>
      <c r="W236" s="72"/>
      <c r="X236" s="72"/>
      <c r="Y236" s="72"/>
      <c r="Z236" s="72"/>
      <c r="AA236" s="72"/>
    </row>
    <row r="237" spans="1:27" x14ac:dyDescent="0.35">
      <c r="A237"/>
      <c r="B237" s="97"/>
      <c r="C237"/>
      <c r="D237"/>
      <c r="E237" s="88"/>
      <c r="F237"/>
      <c r="G237"/>
      <c r="H237"/>
      <c r="I237"/>
      <c r="J237"/>
      <c r="K237"/>
      <c r="L237"/>
      <c r="M237"/>
      <c r="N237"/>
      <c r="O237"/>
      <c r="P237" s="72"/>
      <c r="Q237" s="72"/>
      <c r="R237" s="72"/>
      <c r="S237" s="72"/>
      <c r="T237" s="72"/>
      <c r="U237" s="72"/>
      <c r="V237" s="72"/>
      <c r="W237" s="72"/>
      <c r="X237" s="72"/>
      <c r="Y237" s="72"/>
      <c r="Z237" s="72"/>
      <c r="AA237" s="72"/>
    </row>
    <row r="238" spans="1:27" x14ac:dyDescent="0.35">
      <c r="A238"/>
      <c r="B238" s="97"/>
      <c r="C238"/>
      <c r="D238"/>
      <c r="E238" s="88"/>
      <c r="F238"/>
      <c r="G238"/>
      <c r="H238"/>
      <c r="I238"/>
      <c r="J238"/>
      <c r="K238"/>
      <c r="L238"/>
      <c r="M238"/>
      <c r="N238"/>
      <c r="O238"/>
      <c r="P238" s="72"/>
      <c r="Q238" s="72"/>
      <c r="R238" s="72"/>
      <c r="S238" s="72"/>
      <c r="T238" s="72"/>
      <c r="U238" s="72"/>
      <c r="V238" s="72"/>
      <c r="W238" s="72"/>
      <c r="X238" s="72"/>
      <c r="Y238" s="72"/>
      <c r="Z238" s="72"/>
      <c r="AA238" s="72"/>
    </row>
    <row r="239" spans="1:27" x14ac:dyDescent="0.35">
      <c r="A239"/>
      <c r="B239" s="97"/>
      <c r="C239"/>
      <c r="D239"/>
      <c r="E239" s="88"/>
      <c r="F239"/>
      <c r="G239"/>
      <c r="H239"/>
      <c r="I239"/>
      <c r="J239"/>
      <c r="K239"/>
      <c r="L239"/>
      <c r="M239"/>
      <c r="N239"/>
      <c r="O239"/>
      <c r="P239" s="72"/>
      <c r="Q239" s="72"/>
      <c r="R239" s="72"/>
      <c r="S239" s="72"/>
      <c r="T239" s="72"/>
      <c r="U239" s="72"/>
      <c r="V239" s="72"/>
      <c r="W239" s="72"/>
      <c r="X239" s="72"/>
      <c r="Y239" s="72"/>
      <c r="Z239" s="72"/>
      <c r="AA239" s="72"/>
    </row>
    <row r="240" spans="1:27" x14ac:dyDescent="0.35">
      <c r="A240"/>
      <c r="B240" s="97"/>
      <c r="C240"/>
      <c r="D240"/>
      <c r="E240" s="88"/>
      <c r="F240"/>
      <c r="G240"/>
      <c r="H240"/>
      <c r="I240"/>
      <c r="J240"/>
      <c r="K240"/>
      <c r="L240"/>
      <c r="M240"/>
      <c r="N240"/>
      <c r="O240"/>
      <c r="P240" s="72"/>
      <c r="Q240" s="72"/>
      <c r="R240" s="72"/>
      <c r="S240" s="72"/>
      <c r="T240" s="72"/>
      <c r="U240" s="72"/>
      <c r="V240" s="72"/>
      <c r="W240" s="72"/>
      <c r="X240" s="72"/>
      <c r="Y240" s="72"/>
      <c r="Z240" s="72"/>
      <c r="AA240" s="72"/>
    </row>
    <row r="241" spans="1:27" x14ac:dyDescent="0.35">
      <c r="A241"/>
      <c r="B241" s="97"/>
      <c r="C241"/>
      <c r="D241"/>
      <c r="E241" s="88"/>
      <c r="F241"/>
      <c r="G241"/>
      <c r="H241"/>
      <c r="I241"/>
      <c r="J241"/>
      <c r="K241"/>
      <c r="L241"/>
      <c r="M241"/>
      <c r="N241"/>
      <c r="O241"/>
      <c r="P241" s="72"/>
      <c r="Q241" s="72"/>
      <c r="R241" s="72"/>
      <c r="S241" s="72"/>
      <c r="T241" s="72"/>
      <c r="U241" s="72"/>
      <c r="V241" s="72"/>
      <c r="W241" s="72"/>
      <c r="X241" s="72"/>
      <c r="Y241" s="72"/>
      <c r="Z241" s="72"/>
      <c r="AA241" s="72"/>
    </row>
    <row r="242" spans="1:27" x14ac:dyDescent="0.35">
      <c r="A242"/>
      <c r="B242" s="97"/>
      <c r="C242"/>
      <c r="D242"/>
      <c r="E242" s="88"/>
      <c r="F242"/>
      <c r="G242"/>
      <c r="H242"/>
      <c r="I242"/>
      <c r="J242"/>
      <c r="K242"/>
      <c r="L242"/>
      <c r="M242"/>
      <c r="N242"/>
      <c r="O242"/>
      <c r="P242" s="72"/>
      <c r="Q242" s="72"/>
      <c r="R242" s="72"/>
      <c r="S242" s="72"/>
      <c r="T242" s="72"/>
      <c r="U242" s="72"/>
      <c r="V242" s="72"/>
      <c r="W242" s="72"/>
      <c r="X242" s="72"/>
      <c r="Y242" s="72"/>
      <c r="Z242" s="72"/>
      <c r="AA242" s="72"/>
    </row>
    <row r="243" spans="1:27" x14ac:dyDescent="0.35">
      <c r="A243"/>
      <c r="B243" s="97"/>
      <c r="C243"/>
      <c r="D243"/>
      <c r="E243" s="88"/>
      <c r="F243"/>
      <c r="G243"/>
      <c r="H243"/>
      <c r="I243"/>
      <c r="J243"/>
      <c r="K243"/>
      <c r="L243"/>
      <c r="M243"/>
      <c r="N243"/>
      <c r="O243"/>
      <c r="P243" s="72"/>
      <c r="Q243" s="72"/>
      <c r="R243" s="72"/>
      <c r="S243" s="72"/>
      <c r="T243" s="72"/>
      <c r="U243" s="72"/>
      <c r="V243" s="72"/>
      <c r="W243" s="72"/>
      <c r="X243" s="72"/>
      <c r="Y243" s="72"/>
      <c r="Z243" s="72"/>
      <c r="AA243" s="72"/>
    </row>
    <row r="244" spans="1:27" x14ac:dyDescent="0.35">
      <c r="A244"/>
      <c r="B244" s="97"/>
      <c r="C244"/>
      <c r="D244"/>
      <c r="E244" s="88"/>
      <c r="F244"/>
      <c r="G244"/>
      <c r="H244"/>
      <c r="I244"/>
      <c r="J244"/>
      <c r="K244"/>
      <c r="L244"/>
      <c r="M244"/>
      <c r="N244"/>
      <c r="O244"/>
      <c r="P244" s="72"/>
      <c r="Q244" s="72"/>
      <c r="R244" s="72"/>
      <c r="S244" s="72"/>
      <c r="T244" s="72"/>
      <c r="U244" s="72"/>
      <c r="V244" s="72"/>
      <c r="W244" s="72"/>
      <c r="X244" s="72"/>
      <c r="Y244" s="72"/>
      <c r="Z244" s="72"/>
      <c r="AA244" s="72"/>
    </row>
    <row r="245" spans="1:27" x14ac:dyDescent="0.35">
      <c r="A245"/>
      <c r="B245" s="97"/>
      <c r="C245"/>
      <c r="D245"/>
      <c r="E245" s="88"/>
      <c r="F245"/>
      <c r="G245"/>
      <c r="H245"/>
      <c r="I245"/>
      <c r="J245"/>
      <c r="K245"/>
      <c r="L245"/>
      <c r="M245"/>
      <c r="N245"/>
      <c r="O245"/>
      <c r="P245" s="72"/>
      <c r="Q245" s="72"/>
      <c r="R245" s="72"/>
      <c r="S245" s="72"/>
      <c r="T245" s="72"/>
      <c r="U245" s="72"/>
      <c r="V245" s="72"/>
      <c r="W245" s="72"/>
      <c r="X245" s="72"/>
      <c r="Y245" s="72"/>
      <c r="Z245" s="72"/>
      <c r="AA245" s="72"/>
    </row>
    <row r="246" spans="1:27" x14ac:dyDescent="0.35">
      <c r="A246"/>
      <c r="B246" s="97"/>
      <c r="C246"/>
      <c r="D246"/>
      <c r="E246" s="88"/>
      <c r="F246"/>
      <c r="G246"/>
      <c r="H246"/>
      <c r="I246"/>
      <c r="J246"/>
      <c r="K246"/>
      <c r="L246"/>
      <c r="M246"/>
      <c r="N246"/>
      <c r="O246"/>
      <c r="P246" s="72"/>
      <c r="Q246" s="72"/>
      <c r="R246" s="72"/>
      <c r="S246" s="72"/>
      <c r="T246" s="72"/>
      <c r="U246" s="72"/>
      <c r="V246" s="72"/>
      <c r="W246" s="72"/>
      <c r="X246" s="72"/>
      <c r="Y246" s="72"/>
      <c r="Z246" s="72"/>
      <c r="AA246" s="72"/>
    </row>
    <row r="247" spans="1:27" x14ac:dyDescent="0.35">
      <c r="A247"/>
      <c r="B247" s="97"/>
      <c r="C247"/>
      <c r="D247"/>
      <c r="E247" s="88"/>
      <c r="F247"/>
      <c r="G247"/>
      <c r="H247"/>
      <c r="I247"/>
      <c r="J247"/>
      <c r="K247"/>
      <c r="L247"/>
      <c r="M247"/>
      <c r="N247"/>
      <c r="O247"/>
      <c r="P247" s="72"/>
      <c r="Q247" s="72"/>
      <c r="R247" s="72"/>
      <c r="S247" s="72"/>
      <c r="T247" s="72"/>
      <c r="U247" s="72"/>
      <c r="V247" s="72"/>
      <c r="W247" s="72"/>
      <c r="X247" s="72"/>
      <c r="Y247" s="72"/>
      <c r="Z247" s="72"/>
      <c r="AA247" s="72"/>
    </row>
    <row r="248" spans="1:27" x14ac:dyDescent="0.35">
      <c r="A248"/>
      <c r="B248" s="97"/>
      <c r="C248"/>
      <c r="D248"/>
      <c r="E248" s="88"/>
      <c r="F248"/>
      <c r="G248"/>
      <c r="H248"/>
      <c r="I248"/>
      <c r="J248"/>
      <c r="K248"/>
      <c r="L248"/>
      <c r="M248"/>
      <c r="N248"/>
      <c r="O248"/>
      <c r="P248" s="72"/>
      <c r="Q248" s="72"/>
      <c r="R248" s="72"/>
      <c r="S248" s="72"/>
      <c r="T248" s="72"/>
      <c r="U248" s="72"/>
      <c r="V248" s="72"/>
      <c r="W248" s="72"/>
      <c r="X248" s="72"/>
      <c r="Y248" s="72"/>
      <c r="Z248" s="72"/>
      <c r="AA248" s="72"/>
    </row>
    <row r="249" spans="1:27" x14ac:dyDescent="0.35">
      <c r="A249"/>
      <c r="B249" s="97"/>
      <c r="C249"/>
      <c r="D249"/>
      <c r="E249" s="88"/>
      <c r="F249"/>
      <c r="G249"/>
      <c r="H249"/>
      <c r="I249"/>
      <c r="J249"/>
      <c r="K249"/>
      <c r="L249"/>
      <c r="M249"/>
      <c r="N249"/>
      <c r="O249"/>
      <c r="P249" s="72"/>
      <c r="Q249" s="72"/>
      <c r="R249" s="72"/>
      <c r="S249" s="72"/>
      <c r="T249" s="72"/>
      <c r="U249" s="72"/>
      <c r="V249" s="72"/>
      <c r="W249" s="72"/>
      <c r="X249" s="72"/>
      <c r="Y249" s="72"/>
      <c r="Z249" s="72"/>
      <c r="AA249" s="72"/>
    </row>
    <row r="250" spans="1:27" x14ac:dyDescent="0.35">
      <c r="A250"/>
      <c r="B250" s="97"/>
      <c r="C250"/>
      <c r="D250"/>
      <c r="E250" s="88"/>
      <c r="F250"/>
      <c r="G250"/>
      <c r="H250"/>
      <c r="I250"/>
      <c r="J250"/>
      <c r="K250"/>
      <c r="L250"/>
      <c r="M250"/>
      <c r="N250"/>
      <c r="O250"/>
      <c r="P250" s="72"/>
      <c r="Q250" s="72"/>
      <c r="R250" s="72"/>
      <c r="S250" s="72"/>
      <c r="T250" s="72"/>
      <c r="U250" s="72"/>
      <c r="V250" s="72"/>
      <c r="W250" s="72"/>
      <c r="X250" s="72"/>
      <c r="Y250" s="72"/>
      <c r="Z250" s="72"/>
      <c r="AA250" s="72"/>
    </row>
    <row r="251" spans="1:27" x14ac:dyDescent="0.35">
      <c r="A251"/>
      <c r="B251" s="97"/>
      <c r="C251"/>
      <c r="D251"/>
      <c r="E251" s="88"/>
      <c r="F251"/>
      <c r="G251"/>
      <c r="H251"/>
      <c r="I251"/>
      <c r="J251"/>
      <c r="K251"/>
      <c r="L251"/>
      <c r="M251"/>
      <c r="N251"/>
      <c r="O251"/>
      <c r="P251" s="72"/>
      <c r="Q251" s="72"/>
      <c r="R251" s="72"/>
      <c r="S251" s="72"/>
      <c r="T251" s="72"/>
      <c r="U251" s="72"/>
      <c r="V251" s="72"/>
      <c r="W251" s="72"/>
      <c r="X251" s="72"/>
      <c r="Y251" s="72"/>
      <c r="Z251" s="72"/>
      <c r="AA251" s="72"/>
    </row>
    <row r="252" spans="1:27" x14ac:dyDescent="0.35">
      <c r="A252"/>
      <c r="B252" s="97"/>
      <c r="C252"/>
      <c r="D252"/>
      <c r="E252" s="88"/>
      <c r="F252"/>
      <c r="G252"/>
      <c r="H252"/>
      <c r="I252"/>
      <c r="J252"/>
      <c r="K252"/>
      <c r="L252"/>
      <c r="M252"/>
      <c r="N252"/>
      <c r="O252"/>
      <c r="P252" s="72"/>
      <c r="Q252" s="72"/>
      <c r="R252" s="72"/>
      <c r="S252" s="72"/>
      <c r="T252" s="72"/>
      <c r="U252" s="72"/>
      <c r="V252" s="72"/>
      <c r="W252" s="72"/>
      <c r="X252" s="72"/>
      <c r="Y252" s="72"/>
      <c r="Z252" s="72"/>
      <c r="AA252" s="72"/>
    </row>
    <row r="253" spans="1:27" x14ac:dyDescent="0.35">
      <c r="A253"/>
      <c r="B253" s="97"/>
      <c r="C253"/>
      <c r="D253"/>
      <c r="E253" s="88"/>
      <c r="F253"/>
      <c r="G253"/>
      <c r="H253"/>
      <c r="I253"/>
      <c r="J253"/>
      <c r="K253"/>
      <c r="L253"/>
      <c r="M253"/>
      <c r="N253"/>
      <c r="O253"/>
      <c r="P253" s="72"/>
      <c r="Q253" s="72"/>
      <c r="R253" s="72"/>
      <c r="S253" s="72"/>
      <c r="T253" s="72"/>
      <c r="U253" s="72"/>
      <c r="V253" s="72"/>
      <c r="W253" s="72"/>
      <c r="X253" s="72"/>
      <c r="Y253" s="72"/>
      <c r="Z253" s="72"/>
      <c r="AA253" s="72"/>
    </row>
    <row r="254" spans="1:27" x14ac:dyDescent="0.35">
      <c r="A254"/>
      <c r="B254" s="97"/>
      <c r="C254"/>
      <c r="D254"/>
      <c r="E254" s="88"/>
      <c r="F254"/>
      <c r="G254"/>
      <c r="H254"/>
      <c r="I254"/>
      <c r="J254"/>
      <c r="K254"/>
      <c r="L254"/>
      <c r="M254"/>
      <c r="N254"/>
      <c r="O254"/>
      <c r="P254" s="72"/>
      <c r="Q254" s="72"/>
      <c r="R254" s="72"/>
      <c r="S254" s="72"/>
      <c r="T254" s="72"/>
      <c r="U254" s="72"/>
      <c r="V254" s="72"/>
      <c r="W254" s="72"/>
      <c r="X254" s="72"/>
      <c r="Y254" s="72"/>
      <c r="Z254" s="72"/>
      <c r="AA254" s="72"/>
    </row>
    <row r="255" spans="1:27" x14ac:dyDescent="0.35">
      <c r="A255"/>
      <c r="B255" s="97"/>
      <c r="C255"/>
      <c r="D255"/>
      <c r="E255" s="88"/>
      <c r="F255"/>
      <c r="G255"/>
      <c r="H255"/>
      <c r="I255"/>
      <c r="J255"/>
      <c r="K255"/>
      <c r="L255"/>
      <c r="M255"/>
      <c r="N255"/>
      <c r="O255"/>
      <c r="P255" s="72"/>
      <c r="Q255" s="72"/>
      <c r="R255" s="72"/>
      <c r="S255" s="72"/>
      <c r="T255" s="72"/>
      <c r="U255" s="72"/>
      <c r="V255" s="72"/>
      <c r="W255" s="72"/>
      <c r="X255" s="72"/>
      <c r="Y255" s="72"/>
      <c r="Z255" s="72"/>
      <c r="AA255" s="72"/>
    </row>
    <row r="256" spans="1:27" x14ac:dyDescent="0.35">
      <c r="A256"/>
      <c r="B256" s="97"/>
      <c r="C256"/>
      <c r="D256"/>
      <c r="E256" s="88"/>
      <c r="F256"/>
      <c r="G256"/>
      <c r="H256"/>
      <c r="I256"/>
      <c r="J256"/>
      <c r="K256"/>
      <c r="L256"/>
      <c r="M256"/>
      <c r="N256"/>
      <c r="O256"/>
      <c r="P256" s="72"/>
      <c r="Q256" s="72"/>
      <c r="R256" s="72"/>
      <c r="S256" s="72"/>
      <c r="T256" s="72"/>
      <c r="U256" s="72"/>
      <c r="V256" s="72"/>
      <c r="W256" s="72"/>
      <c r="X256" s="72"/>
      <c r="Y256" s="72"/>
      <c r="Z256" s="72"/>
      <c r="AA256" s="72"/>
    </row>
    <row r="257" spans="1:27" x14ac:dyDescent="0.35">
      <c r="A257"/>
      <c r="B257" s="97"/>
      <c r="C257"/>
      <c r="D257"/>
      <c r="E257" s="88"/>
      <c r="F257"/>
      <c r="G257"/>
      <c r="H257"/>
      <c r="I257"/>
      <c r="J257"/>
      <c r="K257"/>
      <c r="L257"/>
      <c r="M257"/>
      <c r="N257"/>
      <c r="O257"/>
      <c r="P257" s="72"/>
      <c r="Q257" s="72"/>
      <c r="R257" s="72"/>
      <c r="S257" s="72"/>
      <c r="T257" s="72"/>
      <c r="U257" s="72"/>
      <c r="V257" s="72"/>
      <c r="W257" s="72"/>
      <c r="X257" s="72"/>
      <c r="Y257" s="72"/>
      <c r="Z257" s="72"/>
      <c r="AA257" s="72"/>
    </row>
    <row r="258" spans="1:27" x14ac:dyDescent="0.35">
      <c r="A258"/>
      <c r="B258" s="97"/>
      <c r="C258"/>
      <c r="D258"/>
      <c r="E258" s="88"/>
      <c r="F258"/>
      <c r="G258"/>
      <c r="H258"/>
      <c r="I258"/>
      <c r="J258"/>
      <c r="K258"/>
      <c r="L258"/>
      <c r="M258"/>
      <c r="N258"/>
      <c r="O258"/>
      <c r="P258" s="72"/>
      <c r="Q258" s="72"/>
      <c r="R258" s="72"/>
      <c r="S258" s="72"/>
      <c r="T258" s="72"/>
      <c r="U258" s="72"/>
      <c r="V258" s="72"/>
      <c r="W258" s="72"/>
      <c r="X258" s="72"/>
      <c r="Y258" s="72"/>
      <c r="Z258" s="72"/>
      <c r="AA258" s="72"/>
    </row>
    <row r="259" spans="1:27" x14ac:dyDescent="0.35">
      <c r="A259"/>
      <c r="B259" s="97"/>
      <c r="C259"/>
      <c r="D259"/>
      <c r="E259" s="88"/>
      <c r="F259"/>
      <c r="G259"/>
      <c r="H259"/>
      <c r="I259"/>
      <c r="J259"/>
      <c r="K259"/>
      <c r="L259"/>
      <c r="M259"/>
      <c r="N259"/>
      <c r="O259"/>
      <c r="P259" s="72"/>
      <c r="Q259" s="72"/>
      <c r="R259" s="72"/>
      <c r="S259" s="72"/>
      <c r="T259" s="72"/>
      <c r="U259" s="72"/>
      <c r="V259" s="72"/>
      <c r="W259" s="72"/>
      <c r="X259" s="72"/>
      <c r="Y259" s="72"/>
      <c r="Z259" s="72"/>
      <c r="AA259" s="72"/>
    </row>
    <row r="260" spans="1:27" x14ac:dyDescent="0.35">
      <c r="A260"/>
      <c r="B260" s="97"/>
      <c r="C260"/>
      <c r="D260"/>
      <c r="E260" s="88"/>
      <c r="F260"/>
      <c r="G260"/>
      <c r="H260"/>
      <c r="I260"/>
      <c r="J260"/>
      <c r="K260"/>
      <c r="L260"/>
      <c r="M260"/>
      <c r="N260"/>
      <c r="O260"/>
      <c r="P260" s="72"/>
      <c r="Q260" s="72"/>
      <c r="R260" s="72"/>
      <c r="S260" s="72"/>
      <c r="T260" s="72"/>
      <c r="U260" s="72"/>
      <c r="V260" s="72"/>
      <c r="W260" s="72"/>
      <c r="X260" s="72"/>
      <c r="Y260" s="72"/>
      <c r="Z260" s="72"/>
      <c r="AA260" s="72"/>
    </row>
    <row r="261" spans="1:27" x14ac:dyDescent="0.35">
      <c r="A261"/>
      <c r="B261" s="97"/>
      <c r="C261"/>
      <c r="D261"/>
      <c r="E261" s="88"/>
      <c r="F261"/>
      <c r="G261"/>
      <c r="H261"/>
      <c r="I261"/>
      <c r="J261"/>
      <c r="K261"/>
      <c r="L261"/>
      <c r="M261"/>
      <c r="N261"/>
      <c r="O261"/>
      <c r="P261" s="72"/>
      <c r="Q261" s="72"/>
      <c r="R261" s="72"/>
      <c r="S261" s="72"/>
      <c r="T261" s="72"/>
      <c r="U261" s="72"/>
      <c r="V261" s="72"/>
      <c r="W261" s="72"/>
      <c r="X261" s="72"/>
      <c r="Y261" s="72"/>
      <c r="Z261" s="72"/>
      <c r="AA261" s="72"/>
    </row>
    <row r="262" spans="1:27" x14ac:dyDescent="0.35">
      <c r="A262"/>
      <c r="B262" s="97"/>
      <c r="C262"/>
      <c r="D262"/>
      <c r="E262" s="88"/>
      <c r="F262"/>
      <c r="G262"/>
      <c r="H262"/>
      <c r="I262"/>
      <c r="J262"/>
      <c r="K262"/>
      <c r="L262"/>
      <c r="M262"/>
      <c r="N262"/>
      <c r="O262"/>
      <c r="P262" s="72"/>
      <c r="Q262" s="72"/>
      <c r="R262" s="72"/>
      <c r="S262" s="72"/>
      <c r="T262" s="72"/>
      <c r="U262" s="72"/>
      <c r="V262" s="72"/>
      <c r="W262" s="72"/>
      <c r="X262" s="72"/>
      <c r="Y262" s="72"/>
      <c r="Z262" s="72"/>
      <c r="AA262" s="72"/>
    </row>
    <row r="263" spans="1:27" x14ac:dyDescent="0.35">
      <c r="A263"/>
      <c r="B263" s="97"/>
      <c r="C263"/>
      <c r="D263"/>
      <c r="E263" s="88"/>
      <c r="F263"/>
      <c r="G263"/>
      <c r="H263"/>
      <c r="I263"/>
      <c r="J263"/>
      <c r="K263"/>
      <c r="L263"/>
      <c r="M263"/>
      <c r="N263"/>
      <c r="O263"/>
      <c r="P263" s="72"/>
      <c r="Q263" s="72"/>
      <c r="R263" s="72"/>
      <c r="S263" s="72"/>
      <c r="T263" s="72"/>
      <c r="U263" s="72"/>
      <c r="V263" s="72"/>
      <c r="W263" s="72"/>
      <c r="X263" s="72"/>
      <c r="Y263" s="72"/>
      <c r="Z263" s="72"/>
      <c r="AA263" s="72"/>
    </row>
    <row r="264" spans="1:27" x14ac:dyDescent="0.35">
      <c r="A264"/>
      <c r="B264" s="97"/>
      <c r="C264"/>
      <c r="D264"/>
      <c r="E264" s="88"/>
      <c r="F264"/>
      <c r="G264"/>
      <c r="H264"/>
      <c r="I264"/>
      <c r="J264"/>
      <c r="K264"/>
      <c r="L264"/>
      <c r="M264"/>
      <c r="N264"/>
      <c r="O264"/>
      <c r="P264" s="72"/>
      <c r="Q264" s="72"/>
      <c r="R264" s="72"/>
      <c r="S264" s="72"/>
      <c r="T264" s="72"/>
      <c r="U264" s="72"/>
      <c r="V264" s="72"/>
      <c r="W264" s="72"/>
      <c r="X264" s="72"/>
      <c r="Y264" s="72"/>
      <c r="Z264" s="72"/>
      <c r="AA264" s="72"/>
    </row>
    <row r="265" spans="1:27" x14ac:dyDescent="0.35">
      <c r="A265"/>
      <c r="B265" s="97"/>
      <c r="C265"/>
      <c r="D265"/>
      <c r="E265" s="88"/>
      <c r="F265"/>
      <c r="G265"/>
      <c r="H265"/>
      <c r="I265"/>
      <c r="J265"/>
      <c r="K265"/>
      <c r="L265"/>
      <c r="M265"/>
      <c r="N265"/>
      <c r="O265"/>
      <c r="P265" s="72"/>
      <c r="Q265" s="72"/>
      <c r="R265" s="72"/>
      <c r="S265" s="72"/>
      <c r="T265" s="72"/>
      <c r="U265" s="72"/>
      <c r="V265" s="72"/>
      <c r="W265" s="72"/>
      <c r="X265" s="72"/>
      <c r="Y265" s="72"/>
      <c r="Z265" s="72"/>
      <c r="AA265" s="72"/>
    </row>
    <row r="266" spans="1:27" x14ac:dyDescent="0.35">
      <c r="A266"/>
      <c r="B266" s="97"/>
      <c r="C266"/>
      <c r="D266"/>
      <c r="E266" s="88"/>
      <c r="F266"/>
      <c r="G266"/>
      <c r="H266"/>
      <c r="I266"/>
      <c r="J266"/>
      <c r="K266"/>
      <c r="L266"/>
      <c r="M266"/>
      <c r="N266"/>
      <c r="O266"/>
      <c r="P266" s="72"/>
      <c r="Q266" s="72"/>
      <c r="R266" s="72"/>
      <c r="S266" s="72"/>
      <c r="T266" s="72"/>
      <c r="U266" s="72"/>
      <c r="V266" s="72"/>
      <c r="W266" s="72"/>
      <c r="X266" s="72"/>
      <c r="Y266" s="72"/>
      <c r="Z266" s="72"/>
      <c r="AA266" s="72"/>
    </row>
    <row r="267" spans="1:27" x14ac:dyDescent="0.35">
      <c r="A267"/>
      <c r="B267" s="97"/>
      <c r="C267"/>
      <c r="D267"/>
      <c r="E267" s="88"/>
      <c r="F267"/>
      <c r="G267"/>
      <c r="H267"/>
      <c r="I267"/>
      <c r="J267"/>
      <c r="K267"/>
      <c r="L267"/>
      <c r="M267"/>
      <c r="N267"/>
      <c r="O267"/>
      <c r="P267" s="72"/>
      <c r="Q267" s="72"/>
      <c r="R267" s="72"/>
      <c r="S267" s="72"/>
      <c r="T267" s="72"/>
      <c r="U267" s="72"/>
      <c r="V267" s="72"/>
      <c r="W267" s="72"/>
      <c r="X267" s="72"/>
      <c r="Y267" s="72"/>
      <c r="Z267" s="72"/>
      <c r="AA267" s="72"/>
    </row>
    <row r="268" spans="1:27" x14ac:dyDescent="0.35">
      <c r="A268"/>
      <c r="B268" s="97"/>
      <c r="C268"/>
      <c r="D268"/>
      <c r="E268" s="88"/>
      <c r="F268"/>
      <c r="G268"/>
      <c r="H268"/>
      <c r="I268"/>
      <c r="J268"/>
      <c r="K268"/>
      <c r="L268"/>
      <c r="M268"/>
      <c r="N268"/>
      <c r="O268"/>
      <c r="P268" s="72"/>
      <c r="Q268" s="72"/>
      <c r="R268" s="72"/>
      <c r="S268" s="72"/>
      <c r="T268" s="72"/>
      <c r="U268" s="72"/>
      <c r="V268" s="72"/>
      <c r="W268" s="72"/>
      <c r="X268" s="72"/>
      <c r="Y268" s="72"/>
      <c r="Z268" s="72"/>
      <c r="AA268" s="72"/>
    </row>
    <row r="269" spans="1:27" x14ac:dyDescent="0.35">
      <c r="A269"/>
      <c r="B269" s="97"/>
      <c r="C269"/>
      <c r="D269"/>
      <c r="E269" s="88"/>
      <c r="F269"/>
      <c r="G269"/>
      <c r="H269"/>
      <c r="I269"/>
      <c r="J269"/>
      <c r="K269"/>
      <c r="L269"/>
      <c r="M269"/>
      <c r="N269"/>
      <c r="O269"/>
      <c r="P269" s="72"/>
      <c r="Q269" s="72"/>
      <c r="R269" s="72"/>
      <c r="S269" s="72"/>
      <c r="T269" s="72"/>
      <c r="U269" s="72"/>
      <c r="V269" s="72"/>
      <c r="W269" s="72"/>
      <c r="X269" s="72"/>
      <c r="Y269" s="72"/>
      <c r="Z269" s="72"/>
      <c r="AA269" s="72"/>
    </row>
    <row r="270" spans="1:27" x14ac:dyDescent="0.35">
      <c r="A270"/>
      <c r="B270" s="97"/>
      <c r="C270"/>
      <c r="D270"/>
      <c r="E270" s="88"/>
      <c r="F270"/>
      <c r="G270"/>
      <c r="H270"/>
      <c r="I270"/>
      <c r="J270"/>
      <c r="K270"/>
      <c r="L270"/>
      <c r="M270"/>
      <c r="N270"/>
      <c r="O270"/>
      <c r="P270" s="72"/>
      <c r="Q270" s="72"/>
      <c r="R270" s="72"/>
      <c r="S270" s="72"/>
      <c r="T270" s="72"/>
      <c r="U270" s="72"/>
      <c r="V270" s="72"/>
      <c r="W270" s="72"/>
      <c r="X270" s="72"/>
      <c r="Y270" s="72"/>
      <c r="Z270" s="72"/>
      <c r="AA270" s="72"/>
    </row>
    <row r="271" spans="1:27" x14ac:dyDescent="0.35">
      <c r="A271"/>
      <c r="B271" s="97"/>
      <c r="C271"/>
      <c r="D271"/>
      <c r="E271" s="88"/>
      <c r="F271"/>
      <c r="G271"/>
      <c r="H271"/>
      <c r="I271"/>
      <c r="J271"/>
      <c r="K271"/>
      <c r="L271"/>
      <c r="M271"/>
      <c r="N271"/>
      <c r="O271"/>
      <c r="P271" s="72"/>
      <c r="Q271" s="72"/>
      <c r="R271" s="72"/>
      <c r="S271" s="72"/>
      <c r="T271" s="72"/>
      <c r="U271" s="72"/>
      <c r="V271" s="72"/>
      <c r="W271" s="72"/>
      <c r="X271" s="72"/>
      <c r="Y271" s="72"/>
      <c r="Z271" s="72"/>
      <c r="AA271" s="72"/>
    </row>
    <row r="272" spans="1:27" x14ac:dyDescent="0.35">
      <c r="A272"/>
      <c r="B272" s="97"/>
      <c r="C272"/>
      <c r="D272"/>
      <c r="E272" s="88"/>
      <c r="F272"/>
      <c r="G272"/>
      <c r="H272"/>
      <c r="I272"/>
      <c r="J272"/>
      <c r="K272"/>
      <c r="L272"/>
      <c r="M272"/>
      <c r="N272"/>
      <c r="O272"/>
      <c r="P272" s="72"/>
      <c r="Q272" s="72"/>
      <c r="R272" s="72"/>
      <c r="S272" s="72"/>
      <c r="T272" s="72"/>
      <c r="U272" s="72"/>
      <c r="V272" s="72"/>
      <c r="W272" s="72"/>
      <c r="X272" s="72"/>
      <c r="Y272" s="72"/>
      <c r="Z272" s="72"/>
      <c r="AA272" s="72"/>
    </row>
    <row r="273" spans="1:27" x14ac:dyDescent="0.35">
      <c r="A273"/>
      <c r="B273" s="97"/>
      <c r="C273"/>
      <c r="D273"/>
      <c r="E273" s="88"/>
      <c r="F273"/>
      <c r="G273"/>
      <c r="H273"/>
      <c r="I273"/>
      <c r="J273"/>
      <c r="K273"/>
      <c r="L273"/>
      <c r="M273"/>
      <c r="N273"/>
      <c r="O273"/>
      <c r="P273" s="72"/>
      <c r="Q273" s="72"/>
      <c r="R273" s="72"/>
      <c r="S273" s="72"/>
      <c r="T273" s="72"/>
      <c r="U273" s="72"/>
      <c r="V273" s="72"/>
      <c r="W273" s="72"/>
      <c r="X273" s="72"/>
      <c r="Y273" s="72"/>
      <c r="Z273" s="72"/>
      <c r="AA273" s="72"/>
    </row>
    <row r="274" spans="1:27" x14ac:dyDescent="0.35">
      <c r="A274"/>
      <c r="B274" s="97"/>
      <c r="C274"/>
      <c r="D274"/>
      <c r="E274" s="88"/>
      <c r="F274"/>
      <c r="G274"/>
      <c r="H274"/>
      <c r="I274"/>
      <c r="J274"/>
      <c r="K274"/>
      <c r="L274"/>
      <c r="M274"/>
      <c r="N274"/>
      <c r="O274"/>
      <c r="P274" s="72"/>
      <c r="Q274" s="72"/>
      <c r="R274" s="72"/>
      <c r="S274" s="72"/>
      <c r="T274" s="72"/>
      <c r="U274" s="72"/>
      <c r="V274" s="72"/>
      <c r="W274" s="72"/>
      <c r="X274" s="72"/>
      <c r="Y274" s="72"/>
      <c r="Z274" s="72"/>
      <c r="AA274" s="72"/>
    </row>
    <row r="275" spans="1:27" x14ac:dyDescent="0.35">
      <c r="A275"/>
      <c r="B275" s="97"/>
      <c r="C275"/>
      <c r="D275"/>
      <c r="E275" s="88"/>
      <c r="F275"/>
      <c r="G275"/>
      <c r="H275"/>
      <c r="I275"/>
      <c r="J275"/>
      <c r="K275"/>
      <c r="L275"/>
      <c r="M275"/>
      <c r="N275"/>
      <c r="O275"/>
      <c r="P275" s="72"/>
      <c r="Q275" s="72"/>
      <c r="R275" s="72"/>
      <c r="S275" s="72"/>
      <c r="T275" s="72"/>
      <c r="U275" s="72"/>
      <c r="V275" s="72"/>
      <c r="W275" s="72"/>
      <c r="X275" s="72"/>
      <c r="Y275" s="72"/>
      <c r="Z275" s="72"/>
      <c r="AA275" s="72"/>
    </row>
    <row r="276" spans="1:27" x14ac:dyDescent="0.35">
      <c r="A276"/>
      <c r="B276" s="97"/>
      <c r="C276"/>
      <c r="D276"/>
      <c r="E276" s="88"/>
      <c r="F276"/>
      <c r="G276"/>
      <c r="H276"/>
      <c r="I276"/>
      <c r="J276"/>
      <c r="K276"/>
      <c r="L276"/>
      <c r="M276"/>
      <c r="N276"/>
      <c r="O276"/>
      <c r="P276" s="72"/>
      <c r="Q276" s="72"/>
      <c r="R276" s="72"/>
      <c r="S276" s="72"/>
      <c r="T276" s="72"/>
      <c r="U276" s="72"/>
      <c r="V276" s="72"/>
      <c r="W276" s="72"/>
      <c r="X276" s="72"/>
      <c r="Y276" s="72"/>
      <c r="Z276" s="72"/>
      <c r="AA276" s="72"/>
    </row>
    <row r="277" spans="1:27" x14ac:dyDescent="0.35">
      <c r="A277"/>
      <c r="B277" s="97"/>
      <c r="C277"/>
      <c r="D277"/>
      <c r="E277" s="88"/>
      <c r="F277"/>
      <c r="G277"/>
      <c r="H277"/>
      <c r="I277"/>
      <c r="J277"/>
      <c r="K277"/>
      <c r="L277"/>
      <c r="M277"/>
      <c r="N277"/>
      <c r="O277"/>
      <c r="P277" s="72"/>
      <c r="Q277" s="72"/>
      <c r="R277" s="72"/>
      <c r="S277" s="72"/>
      <c r="T277" s="72"/>
      <c r="U277" s="72"/>
      <c r="V277" s="72"/>
      <c r="W277" s="72"/>
      <c r="X277" s="72"/>
      <c r="Y277" s="72"/>
      <c r="Z277" s="72"/>
      <c r="AA277" s="72"/>
    </row>
    <row r="278" spans="1:27" x14ac:dyDescent="0.35">
      <c r="A278"/>
      <c r="B278" s="97"/>
      <c r="C278"/>
      <c r="D278"/>
      <c r="E278" s="88"/>
      <c r="F278"/>
      <c r="G278"/>
      <c r="H278"/>
      <c r="I278"/>
      <c r="J278"/>
      <c r="K278"/>
      <c r="L278"/>
      <c r="M278"/>
      <c r="N278"/>
      <c r="O278"/>
      <c r="P278" s="72"/>
      <c r="Q278" s="72"/>
      <c r="R278" s="72"/>
      <c r="S278" s="72"/>
      <c r="T278" s="72"/>
      <c r="U278" s="72"/>
      <c r="V278" s="72"/>
      <c r="W278" s="72"/>
      <c r="X278" s="72"/>
      <c r="Y278" s="72"/>
      <c r="Z278" s="72"/>
      <c r="AA278" s="72"/>
    </row>
    <row r="279" spans="1:27" x14ac:dyDescent="0.35">
      <c r="A279"/>
      <c r="B279" s="97"/>
      <c r="C279"/>
      <c r="D279"/>
      <c r="E279" s="88"/>
      <c r="F279"/>
      <c r="G279"/>
      <c r="H279"/>
      <c r="I279"/>
      <c r="J279"/>
      <c r="K279"/>
      <c r="L279"/>
      <c r="M279"/>
      <c r="N279"/>
      <c r="O279"/>
      <c r="P279" s="72"/>
      <c r="Q279" s="72"/>
      <c r="R279" s="72"/>
      <c r="S279" s="72"/>
      <c r="T279" s="72"/>
      <c r="U279" s="72"/>
      <c r="V279" s="72"/>
      <c r="W279" s="72"/>
      <c r="X279" s="72"/>
      <c r="Y279" s="72"/>
      <c r="Z279" s="72"/>
      <c r="AA279" s="72"/>
    </row>
    <row r="280" spans="1:27" x14ac:dyDescent="0.35">
      <c r="A280"/>
      <c r="B280" s="97"/>
      <c r="C280"/>
      <c r="D280"/>
      <c r="E280" s="88"/>
      <c r="F280"/>
      <c r="G280"/>
      <c r="H280"/>
      <c r="I280"/>
      <c r="J280"/>
      <c r="K280"/>
      <c r="L280"/>
      <c r="M280"/>
      <c r="N280"/>
      <c r="O280"/>
      <c r="P280" s="72"/>
      <c r="Q280" s="72"/>
      <c r="R280" s="72"/>
      <c r="S280" s="72"/>
      <c r="T280" s="72"/>
      <c r="U280" s="72"/>
      <c r="V280" s="72"/>
      <c r="W280" s="72"/>
      <c r="X280" s="72"/>
      <c r="Y280" s="72"/>
      <c r="Z280" s="72"/>
      <c r="AA280" s="72"/>
    </row>
    <row r="281" spans="1:27" x14ac:dyDescent="0.35">
      <c r="A281"/>
      <c r="B281" s="97"/>
      <c r="C281"/>
      <c r="D281"/>
      <c r="E281" s="88"/>
      <c r="F281"/>
      <c r="G281"/>
      <c r="H281"/>
      <c r="I281"/>
      <c r="J281"/>
      <c r="K281"/>
      <c r="L281"/>
      <c r="M281"/>
      <c r="N281"/>
      <c r="O281"/>
      <c r="P281" s="72"/>
      <c r="Q281" s="72"/>
      <c r="R281" s="72"/>
      <c r="S281" s="72"/>
      <c r="T281" s="72"/>
      <c r="U281" s="72"/>
      <c r="V281" s="72"/>
      <c r="W281" s="72"/>
      <c r="X281" s="72"/>
      <c r="Y281" s="72"/>
      <c r="Z281" s="72"/>
      <c r="AA281" s="72"/>
    </row>
    <row r="282" spans="1:27" x14ac:dyDescent="0.35">
      <c r="A282"/>
      <c r="B282" s="97"/>
      <c r="C282"/>
      <c r="D282"/>
      <c r="E282" s="88"/>
      <c r="F282"/>
      <c r="G282"/>
      <c r="H282"/>
      <c r="I282"/>
      <c r="J282"/>
      <c r="K282"/>
      <c r="L282"/>
      <c r="M282"/>
      <c r="N282"/>
      <c r="O282"/>
      <c r="P282" s="72"/>
      <c r="Q282" s="72"/>
      <c r="R282" s="72"/>
      <c r="S282" s="72"/>
      <c r="T282" s="72"/>
      <c r="U282" s="72"/>
      <c r="V282" s="72"/>
      <c r="W282" s="72"/>
      <c r="X282" s="72"/>
      <c r="Y282" s="72"/>
      <c r="Z282" s="72"/>
      <c r="AA282" s="72"/>
    </row>
    <row r="283" spans="1:27" x14ac:dyDescent="0.35">
      <c r="A283"/>
      <c r="B283" s="97"/>
      <c r="C283"/>
      <c r="D283"/>
      <c r="E283" s="88"/>
      <c r="F283"/>
      <c r="G283"/>
      <c r="H283"/>
      <c r="I283"/>
      <c r="J283"/>
      <c r="K283"/>
      <c r="L283"/>
      <c r="M283"/>
      <c r="N283"/>
      <c r="O283"/>
      <c r="P283" s="72"/>
      <c r="Q283" s="72"/>
      <c r="R283" s="72"/>
      <c r="S283" s="72"/>
      <c r="T283" s="72"/>
      <c r="U283" s="72"/>
      <c r="V283" s="72"/>
      <c r="W283" s="72"/>
      <c r="X283" s="72"/>
      <c r="Y283" s="72"/>
      <c r="Z283" s="72"/>
      <c r="AA283" s="72"/>
    </row>
    <row r="284" spans="1:27" x14ac:dyDescent="0.35">
      <c r="A284"/>
      <c r="B284" s="97"/>
      <c r="C284"/>
      <c r="D284"/>
      <c r="E284" s="88"/>
      <c r="F284"/>
      <c r="G284"/>
      <c r="H284"/>
      <c r="I284"/>
      <c r="J284"/>
      <c r="K284"/>
      <c r="L284"/>
      <c r="M284"/>
      <c r="N284"/>
      <c r="O284"/>
      <c r="P284" s="72"/>
      <c r="Q284" s="72"/>
      <c r="R284" s="72"/>
      <c r="S284" s="72"/>
      <c r="T284" s="72"/>
      <c r="U284" s="72"/>
      <c r="V284" s="72"/>
      <c r="W284" s="72"/>
      <c r="X284" s="72"/>
      <c r="Y284" s="72"/>
      <c r="Z284" s="72"/>
      <c r="AA284" s="72"/>
    </row>
    <row r="285" spans="1:27" x14ac:dyDescent="0.35">
      <c r="A285"/>
      <c r="B285" s="97"/>
      <c r="C285"/>
      <c r="D285"/>
      <c r="E285" s="88"/>
      <c r="F285"/>
      <c r="G285"/>
      <c r="H285"/>
      <c r="I285"/>
      <c r="J285"/>
      <c r="K285"/>
      <c r="L285"/>
      <c r="M285"/>
      <c r="N285"/>
      <c r="O285"/>
      <c r="P285" s="72"/>
      <c r="Q285" s="72"/>
      <c r="R285" s="72"/>
      <c r="S285" s="72"/>
      <c r="T285" s="72"/>
      <c r="U285" s="72"/>
      <c r="V285" s="72"/>
      <c r="W285" s="72"/>
      <c r="X285" s="72"/>
      <c r="Y285" s="72"/>
      <c r="Z285" s="72"/>
      <c r="AA285" s="72"/>
    </row>
    <row r="286" spans="1:27" x14ac:dyDescent="0.35">
      <c r="A286"/>
      <c r="B286" s="97"/>
      <c r="C286"/>
      <c r="D286"/>
      <c r="E286" s="88"/>
      <c r="F286"/>
      <c r="G286"/>
      <c r="H286"/>
      <c r="I286"/>
      <c r="J286"/>
      <c r="K286"/>
      <c r="L286"/>
      <c r="M286"/>
      <c r="N286"/>
      <c r="O286"/>
      <c r="P286" s="72"/>
      <c r="Q286" s="72"/>
      <c r="R286" s="72"/>
      <c r="S286" s="72"/>
      <c r="T286" s="72"/>
      <c r="U286" s="72"/>
      <c r="V286" s="72"/>
      <c r="W286" s="72"/>
      <c r="X286" s="72"/>
      <c r="Y286" s="72"/>
      <c r="Z286" s="72"/>
      <c r="AA286" s="72"/>
    </row>
    <row r="287" spans="1:27" x14ac:dyDescent="0.35">
      <c r="A287"/>
      <c r="B287" s="97"/>
      <c r="C287"/>
      <c r="D287"/>
      <c r="E287" s="88"/>
      <c r="F287"/>
      <c r="G287"/>
      <c r="H287"/>
      <c r="I287"/>
      <c r="J287"/>
      <c r="K287"/>
      <c r="L287"/>
      <c r="M287"/>
      <c r="N287"/>
      <c r="O287"/>
      <c r="P287" s="72"/>
      <c r="Q287" s="72"/>
      <c r="R287" s="72"/>
      <c r="S287" s="72"/>
      <c r="T287" s="72"/>
      <c r="U287" s="72"/>
      <c r="V287" s="72"/>
      <c r="W287" s="72"/>
      <c r="X287" s="72"/>
      <c r="Y287" s="72"/>
      <c r="Z287" s="72"/>
      <c r="AA287" s="72"/>
    </row>
    <row r="288" spans="1:27" x14ac:dyDescent="0.35">
      <c r="A288"/>
      <c r="B288" s="97"/>
      <c r="C288"/>
      <c r="D288"/>
      <c r="E288" s="88"/>
      <c r="F288"/>
      <c r="G288"/>
      <c r="H288"/>
      <c r="I288"/>
      <c r="J288"/>
      <c r="K288"/>
      <c r="L288"/>
      <c r="M288"/>
      <c r="N288"/>
      <c r="O288"/>
      <c r="P288" s="72"/>
      <c r="Q288" s="72"/>
      <c r="R288" s="72"/>
      <c r="S288" s="72"/>
      <c r="T288" s="72"/>
      <c r="U288" s="72"/>
      <c r="V288" s="72"/>
      <c r="W288" s="72"/>
      <c r="X288" s="72"/>
      <c r="Y288" s="72"/>
      <c r="Z288" s="72"/>
      <c r="AA288" s="72"/>
    </row>
    <row r="289" spans="1:27" x14ac:dyDescent="0.35">
      <c r="A289"/>
      <c r="B289" s="97"/>
      <c r="C289"/>
      <c r="D289"/>
      <c r="E289" s="88"/>
      <c r="F289"/>
      <c r="G289"/>
      <c r="H289"/>
      <c r="I289"/>
      <c r="J289"/>
      <c r="K289"/>
      <c r="L289"/>
      <c r="M289"/>
      <c r="N289"/>
      <c r="O289"/>
      <c r="P289" s="72"/>
      <c r="Q289" s="72"/>
      <c r="R289" s="72"/>
      <c r="S289" s="72"/>
      <c r="T289" s="72"/>
      <c r="U289" s="72"/>
      <c r="V289" s="72"/>
      <c r="W289" s="72"/>
      <c r="X289" s="72"/>
      <c r="Y289" s="72"/>
      <c r="Z289" s="72"/>
      <c r="AA289" s="72"/>
    </row>
    <row r="290" spans="1:27" x14ac:dyDescent="0.35">
      <c r="A290"/>
      <c r="B290" s="97"/>
      <c r="C290"/>
      <c r="D290"/>
      <c r="E290" s="88"/>
      <c r="F290"/>
      <c r="G290"/>
      <c r="H290"/>
      <c r="I290"/>
      <c r="J290"/>
      <c r="K290"/>
      <c r="L290"/>
      <c r="M290"/>
      <c r="N290"/>
      <c r="O290"/>
      <c r="P290" s="72"/>
      <c r="Q290" s="72"/>
      <c r="R290" s="72"/>
      <c r="S290" s="72"/>
      <c r="T290" s="72"/>
      <c r="U290" s="72"/>
      <c r="V290" s="72"/>
      <c r="W290" s="72"/>
      <c r="X290" s="72"/>
      <c r="Y290" s="72"/>
      <c r="Z290" s="72"/>
      <c r="AA290" s="72"/>
    </row>
    <row r="291" spans="1:27" x14ac:dyDescent="0.35">
      <c r="A291"/>
      <c r="B291" s="97"/>
      <c r="C291"/>
      <c r="D291"/>
      <c r="E291" s="88"/>
      <c r="F291"/>
      <c r="G291"/>
      <c r="H291"/>
      <c r="I291"/>
      <c r="J291"/>
      <c r="K291"/>
      <c r="L291"/>
      <c r="M291"/>
      <c r="N291"/>
      <c r="O291"/>
      <c r="P291" s="72"/>
      <c r="Q291" s="72"/>
      <c r="R291" s="72"/>
      <c r="S291" s="72"/>
      <c r="T291" s="72"/>
      <c r="U291" s="72"/>
      <c r="V291" s="72"/>
      <c r="W291" s="72"/>
      <c r="X291" s="72"/>
      <c r="Y291" s="72"/>
      <c r="Z291" s="72"/>
      <c r="AA291" s="72"/>
    </row>
    <row r="292" spans="1:27" x14ac:dyDescent="0.35">
      <c r="A292"/>
      <c r="B292" s="97"/>
      <c r="C292"/>
      <c r="D292"/>
      <c r="E292" s="88"/>
      <c r="F292"/>
      <c r="G292"/>
      <c r="H292"/>
      <c r="I292"/>
      <c r="J292"/>
      <c r="K292"/>
      <c r="L292"/>
      <c r="M292"/>
      <c r="N292"/>
      <c r="O292"/>
      <c r="P292" s="72"/>
      <c r="Q292" s="72"/>
      <c r="R292" s="72"/>
      <c r="S292" s="72"/>
      <c r="T292" s="72"/>
      <c r="U292" s="72"/>
      <c r="V292" s="72"/>
      <c r="W292" s="72"/>
      <c r="X292" s="72"/>
      <c r="Y292" s="72"/>
      <c r="Z292" s="72"/>
      <c r="AA292" s="72"/>
    </row>
    <row r="293" spans="1:27" x14ac:dyDescent="0.35">
      <c r="A293"/>
      <c r="B293" s="97"/>
      <c r="C293"/>
      <c r="D293"/>
      <c r="E293" s="88"/>
      <c r="F293"/>
      <c r="G293"/>
      <c r="H293"/>
      <c r="I293"/>
      <c r="J293"/>
      <c r="K293"/>
      <c r="L293"/>
      <c r="M293"/>
      <c r="N293"/>
      <c r="O293"/>
      <c r="P293" s="72"/>
      <c r="Q293" s="72"/>
      <c r="R293" s="72"/>
      <c r="S293" s="72"/>
      <c r="T293" s="72"/>
      <c r="U293" s="72"/>
      <c r="V293" s="72"/>
      <c r="W293" s="72"/>
      <c r="X293" s="72"/>
      <c r="Y293" s="72"/>
      <c r="Z293" s="72"/>
      <c r="AA293" s="72"/>
    </row>
    <row r="294" spans="1:27" x14ac:dyDescent="0.35">
      <c r="A294"/>
      <c r="B294" s="97"/>
      <c r="C294"/>
      <c r="D294"/>
      <c r="E294" s="88"/>
      <c r="F294"/>
      <c r="G294"/>
      <c r="H294"/>
      <c r="I294"/>
      <c r="J294"/>
      <c r="K294"/>
      <c r="L294"/>
      <c r="M294"/>
      <c r="N294"/>
      <c r="O294"/>
      <c r="P294" s="72"/>
      <c r="Q294" s="72"/>
      <c r="R294" s="72"/>
      <c r="S294" s="72"/>
      <c r="T294" s="72"/>
      <c r="U294" s="72"/>
      <c r="V294" s="72"/>
      <c r="W294" s="72"/>
      <c r="X294" s="72"/>
      <c r="Y294" s="72"/>
      <c r="Z294" s="72"/>
      <c r="AA294" s="72"/>
    </row>
    <row r="295" spans="1:27" x14ac:dyDescent="0.35">
      <c r="A295"/>
      <c r="B295" s="97"/>
      <c r="C295"/>
      <c r="D295"/>
      <c r="E295" s="88"/>
      <c r="F295"/>
      <c r="G295"/>
      <c r="H295"/>
      <c r="I295"/>
      <c r="J295"/>
      <c r="K295"/>
      <c r="L295"/>
      <c r="M295"/>
      <c r="N295"/>
      <c r="O295"/>
      <c r="P295" s="72"/>
      <c r="Q295" s="72"/>
      <c r="R295" s="72"/>
      <c r="S295" s="72"/>
      <c r="T295" s="72"/>
      <c r="U295" s="72"/>
      <c r="V295" s="72"/>
      <c r="W295" s="72"/>
      <c r="X295" s="72"/>
      <c r="Y295" s="72"/>
      <c r="Z295" s="72"/>
      <c r="AA295" s="72"/>
    </row>
    <row r="296" spans="1:27" x14ac:dyDescent="0.35">
      <c r="A296"/>
      <c r="B296" s="97"/>
      <c r="C296"/>
      <c r="D296"/>
      <c r="E296" s="88"/>
      <c r="F296"/>
      <c r="G296"/>
      <c r="H296"/>
      <c r="I296"/>
      <c r="J296"/>
      <c r="K296"/>
      <c r="L296"/>
      <c r="M296"/>
      <c r="N296"/>
      <c r="O296"/>
      <c r="P296" s="72"/>
      <c r="Q296" s="72"/>
      <c r="R296" s="72"/>
      <c r="S296" s="72"/>
      <c r="T296" s="72"/>
      <c r="U296" s="72"/>
      <c r="V296" s="72"/>
      <c r="W296" s="72"/>
      <c r="X296" s="72"/>
      <c r="Y296" s="72"/>
      <c r="Z296" s="72"/>
      <c r="AA296" s="72"/>
    </row>
    <row r="297" spans="1:27" x14ac:dyDescent="0.35">
      <c r="A297"/>
      <c r="B297" s="97"/>
      <c r="C297"/>
      <c r="D297"/>
      <c r="E297" s="88"/>
      <c r="F297"/>
      <c r="G297"/>
      <c r="H297"/>
      <c r="I297"/>
      <c r="J297"/>
      <c r="K297"/>
      <c r="L297"/>
      <c r="M297"/>
      <c r="N297"/>
      <c r="O297"/>
      <c r="P297" s="72"/>
      <c r="Q297" s="72"/>
      <c r="R297" s="72"/>
      <c r="S297" s="72"/>
      <c r="T297" s="72"/>
      <c r="U297" s="72"/>
      <c r="V297" s="72"/>
      <c r="W297" s="72"/>
      <c r="X297" s="72"/>
      <c r="Y297" s="72"/>
      <c r="Z297" s="72"/>
      <c r="AA297" s="72"/>
    </row>
    <row r="298" spans="1:27" x14ac:dyDescent="0.35">
      <c r="A298"/>
      <c r="B298" s="97"/>
      <c r="C298"/>
      <c r="D298"/>
      <c r="E298" s="88"/>
      <c r="F298"/>
      <c r="G298"/>
      <c r="H298"/>
      <c r="I298"/>
      <c r="J298"/>
      <c r="K298"/>
      <c r="L298"/>
      <c r="M298"/>
      <c r="N298"/>
      <c r="O298"/>
      <c r="P298" s="72"/>
      <c r="Q298" s="72"/>
      <c r="R298" s="72"/>
      <c r="S298" s="72"/>
      <c r="T298" s="72"/>
      <c r="U298" s="72"/>
      <c r="V298" s="72"/>
      <c r="W298" s="72"/>
      <c r="X298" s="72"/>
      <c r="Y298" s="72"/>
      <c r="Z298" s="72"/>
      <c r="AA298" s="72"/>
    </row>
    <row r="299" spans="1:27" x14ac:dyDescent="0.35">
      <c r="A299"/>
      <c r="B299" s="97"/>
      <c r="C299"/>
      <c r="D299"/>
      <c r="E299" s="88"/>
      <c r="F299"/>
      <c r="G299"/>
      <c r="H299"/>
      <c r="I299"/>
      <c r="J299"/>
      <c r="K299"/>
      <c r="L299"/>
      <c r="M299"/>
      <c r="N299"/>
      <c r="O299"/>
      <c r="P299" s="72"/>
      <c r="Q299" s="72"/>
      <c r="R299" s="72"/>
      <c r="S299" s="72"/>
      <c r="T299" s="72"/>
      <c r="U299" s="72"/>
      <c r="V299" s="72"/>
      <c r="W299" s="72"/>
      <c r="X299" s="72"/>
      <c r="Y299" s="72"/>
      <c r="Z299" s="72"/>
      <c r="AA299" s="72"/>
    </row>
    <row r="300" spans="1:27" x14ac:dyDescent="0.35">
      <c r="A300"/>
      <c r="B300" s="97"/>
      <c r="C300"/>
      <c r="D300"/>
      <c r="E300" s="88"/>
      <c r="F300"/>
      <c r="G300"/>
      <c r="H300"/>
      <c r="I300"/>
      <c r="J300"/>
      <c r="K300"/>
      <c r="L300"/>
      <c r="M300"/>
      <c r="N300"/>
      <c r="O300"/>
      <c r="P300" s="72"/>
      <c r="Q300" s="72"/>
      <c r="R300" s="72"/>
      <c r="S300" s="72"/>
      <c r="T300" s="72"/>
      <c r="U300" s="72"/>
      <c r="V300" s="72"/>
      <c r="W300" s="72"/>
      <c r="X300" s="72"/>
      <c r="Y300" s="72"/>
      <c r="Z300" s="72"/>
      <c r="AA300" s="72"/>
    </row>
    <row r="301" spans="1:27" x14ac:dyDescent="0.35">
      <c r="A301"/>
      <c r="B301" s="97"/>
      <c r="C301"/>
      <c r="D301"/>
      <c r="E301" s="88"/>
      <c r="F301"/>
      <c r="G301"/>
      <c r="H301"/>
      <c r="I301"/>
      <c r="J301"/>
      <c r="K301"/>
      <c r="L301"/>
      <c r="M301"/>
      <c r="N301"/>
      <c r="O301"/>
      <c r="P301" s="72"/>
      <c r="Q301" s="72"/>
      <c r="R301" s="72"/>
      <c r="S301" s="72"/>
      <c r="T301" s="72"/>
      <c r="U301" s="72"/>
      <c r="V301" s="72"/>
      <c r="W301" s="72"/>
      <c r="X301" s="72"/>
      <c r="Y301" s="72"/>
      <c r="Z301" s="72"/>
      <c r="AA301" s="72"/>
    </row>
    <row r="302" spans="1:27" x14ac:dyDescent="0.35">
      <c r="A302"/>
      <c r="B302" s="97"/>
      <c r="C302"/>
      <c r="D302"/>
      <c r="E302" s="88"/>
      <c r="F302"/>
      <c r="G302"/>
      <c r="H302"/>
      <c r="I302"/>
      <c r="J302"/>
      <c r="K302"/>
      <c r="L302"/>
      <c r="M302"/>
      <c r="N302"/>
      <c r="O302"/>
      <c r="P302" s="72"/>
      <c r="Q302" s="72"/>
      <c r="R302" s="72"/>
      <c r="S302" s="72"/>
      <c r="T302" s="72"/>
      <c r="U302" s="72"/>
      <c r="V302" s="72"/>
      <c r="W302" s="72"/>
      <c r="X302" s="72"/>
      <c r="Y302" s="72"/>
      <c r="Z302" s="72"/>
      <c r="AA302" s="72"/>
    </row>
    <row r="303" spans="1:27" x14ac:dyDescent="0.35">
      <c r="A303"/>
      <c r="B303" s="97"/>
      <c r="C303"/>
      <c r="D303"/>
      <c r="E303" s="88"/>
      <c r="F303"/>
      <c r="G303"/>
      <c r="H303"/>
      <c r="I303"/>
      <c r="J303"/>
      <c r="K303"/>
      <c r="L303"/>
      <c r="M303"/>
      <c r="N303"/>
      <c r="O303"/>
      <c r="P303" s="72"/>
      <c r="Q303" s="72"/>
      <c r="R303" s="72"/>
      <c r="S303" s="72"/>
      <c r="T303" s="72"/>
      <c r="U303" s="72"/>
      <c r="V303" s="72"/>
      <c r="W303" s="72"/>
      <c r="X303" s="72"/>
      <c r="Y303" s="72"/>
      <c r="Z303" s="72"/>
      <c r="AA303" s="72"/>
    </row>
    <row r="304" spans="1:27" x14ac:dyDescent="0.35">
      <c r="A304"/>
      <c r="B304" s="97"/>
      <c r="C304"/>
      <c r="D304"/>
      <c r="E304" s="88"/>
      <c r="F304"/>
      <c r="G304"/>
      <c r="H304"/>
      <c r="I304"/>
      <c r="J304"/>
      <c r="K304"/>
      <c r="L304"/>
      <c r="M304"/>
      <c r="N304"/>
      <c r="O304"/>
      <c r="P304" s="72"/>
      <c r="Q304" s="72"/>
      <c r="R304" s="72"/>
      <c r="S304" s="72"/>
      <c r="T304" s="72"/>
      <c r="U304" s="72"/>
      <c r="V304" s="72"/>
      <c r="W304" s="72"/>
      <c r="X304" s="72"/>
      <c r="Y304" s="72"/>
      <c r="Z304" s="72"/>
      <c r="AA304" s="72"/>
    </row>
    <row r="305" spans="1:27" x14ac:dyDescent="0.35">
      <c r="A305"/>
      <c r="B305" s="97"/>
      <c r="C305"/>
      <c r="D305"/>
      <c r="E305" s="88"/>
      <c r="F305"/>
      <c r="G305"/>
      <c r="H305"/>
      <c r="I305"/>
      <c r="J305"/>
      <c r="K305"/>
      <c r="L305"/>
      <c r="M305"/>
      <c r="N305"/>
      <c r="O305"/>
      <c r="P305" s="72"/>
      <c r="Q305" s="72"/>
      <c r="R305" s="72"/>
      <c r="S305" s="72"/>
      <c r="T305" s="72"/>
      <c r="U305" s="72"/>
      <c r="V305" s="72"/>
      <c r="W305" s="72"/>
      <c r="X305" s="72"/>
      <c r="Y305" s="72"/>
      <c r="Z305" s="72"/>
      <c r="AA305" s="72"/>
    </row>
    <row r="306" spans="1:27" x14ac:dyDescent="0.35">
      <c r="A306"/>
      <c r="B306" s="97"/>
      <c r="C306"/>
      <c r="D306"/>
      <c r="E306" s="88"/>
      <c r="F306"/>
      <c r="G306"/>
      <c r="H306"/>
      <c r="I306"/>
      <c r="J306"/>
      <c r="K306"/>
      <c r="L306"/>
      <c r="M306"/>
      <c r="N306"/>
      <c r="O306"/>
      <c r="P306" s="72"/>
      <c r="Q306" s="72"/>
      <c r="R306" s="72"/>
      <c r="S306" s="72"/>
      <c r="T306" s="72"/>
      <c r="U306" s="72"/>
      <c r="V306" s="72"/>
      <c r="W306" s="72"/>
      <c r="X306" s="72"/>
      <c r="Y306" s="72"/>
      <c r="Z306" s="72"/>
      <c r="AA306" s="72"/>
    </row>
    <row r="307" spans="1:27" x14ac:dyDescent="0.35">
      <c r="A307"/>
      <c r="B307" s="97"/>
      <c r="C307"/>
      <c r="D307"/>
      <c r="E307" s="88"/>
      <c r="F307"/>
      <c r="G307"/>
      <c r="H307"/>
      <c r="I307"/>
      <c r="J307"/>
      <c r="K307"/>
      <c r="L307"/>
      <c r="M307"/>
      <c r="N307"/>
      <c r="O307"/>
      <c r="P307" s="72"/>
      <c r="Q307" s="72"/>
      <c r="R307" s="72"/>
      <c r="S307" s="72"/>
      <c r="T307" s="72"/>
      <c r="U307" s="72"/>
      <c r="V307" s="72"/>
      <c r="W307" s="72"/>
      <c r="X307" s="72"/>
      <c r="Y307" s="72"/>
      <c r="Z307" s="72"/>
      <c r="AA307" s="72"/>
    </row>
    <row r="308" spans="1:27" x14ac:dyDescent="0.35">
      <c r="A308"/>
      <c r="B308" s="97"/>
      <c r="C308"/>
      <c r="D308"/>
      <c r="E308" s="88"/>
      <c r="F308"/>
      <c r="G308"/>
      <c r="H308"/>
      <c r="I308"/>
      <c r="J308"/>
      <c r="K308"/>
      <c r="L308"/>
      <c r="M308"/>
      <c r="N308"/>
      <c r="O308"/>
      <c r="P308" s="72"/>
      <c r="Q308" s="72"/>
      <c r="R308" s="72"/>
      <c r="S308" s="72"/>
      <c r="T308" s="72"/>
      <c r="U308" s="72"/>
      <c r="V308" s="72"/>
      <c r="W308" s="72"/>
      <c r="X308" s="72"/>
      <c r="Y308" s="72"/>
      <c r="Z308" s="72"/>
      <c r="AA308" s="72"/>
    </row>
    <row r="309" spans="1:27" x14ac:dyDescent="0.35">
      <c r="A309"/>
      <c r="B309" s="97"/>
      <c r="C309"/>
      <c r="D309"/>
      <c r="E309" s="88"/>
      <c r="F309"/>
      <c r="G309"/>
      <c r="H309"/>
      <c r="I309"/>
      <c r="J309"/>
      <c r="K309"/>
      <c r="L309"/>
      <c r="M309"/>
      <c r="N309"/>
      <c r="O309"/>
      <c r="P309" s="72"/>
      <c r="Q309" s="72"/>
      <c r="R309" s="72"/>
      <c r="S309" s="72"/>
      <c r="T309" s="72"/>
      <c r="U309" s="72"/>
      <c r="V309" s="72"/>
      <c r="W309" s="72"/>
      <c r="X309" s="72"/>
      <c r="Y309" s="72"/>
      <c r="Z309" s="72"/>
      <c r="AA309" s="72"/>
    </row>
    <row r="310" spans="1:27" x14ac:dyDescent="0.35">
      <c r="A310"/>
      <c r="B310" s="97"/>
      <c r="C310"/>
      <c r="D310"/>
      <c r="E310" s="88"/>
      <c r="F310"/>
      <c r="G310"/>
      <c r="H310"/>
      <c r="I310"/>
      <c r="J310"/>
      <c r="K310"/>
      <c r="L310"/>
      <c r="M310"/>
      <c r="N310"/>
      <c r="O310"/>
      <c r="P310" s="72"/>
      <c r="Q310" s="72"/>
      <c r="R310" s="72"/>
      <c r="S310" s="72"/>
      <c r="T310" s="72"/>
      <c r="U310" s="72"/>
      <c r="V310" s="72"/>
      <c r="W310" s="72"/>
      <c r="X310" s="72"/>
      <c r="Y310" s="72"/>
      <c r="Z310" s="72"/>
      <c r="AA310" s="72"/>
    </row>
    <row r="311" spans="1:27" x14ac:dyDescent="0.35">
      <c r="A311"/>
      <c r="B311" s="97"/>
      <c r="C311"/>
      <c r="D311"/>
      <c r="E311" s="88"/>
      <c r="F311"/>
      <c r="G311"/>
      <c r="H311"/>
      <c r="I311"/>
      <c r="J311"/>
      <c r="K311"/>
      <c r="L311"/>
      <c r="M311"/>
      <c r="N311"/>
      <c r="O311"/>
      <c r="P311" s="72"/>
      <c r="Q311" s="72"/>
      <c r="R311" s="72"/>
      <c r="S311" s="72"/>
      <c r="T311" s="72"/>
      <c r="U311" s="72"/>
      <c r="V311" s="72"/>
      <c r="W311" s="72"/>
      <c r="X311" s="72"/>
      <c r="Y311" s="72"/>
      <c r="Z311" s="72"/>
      <c r="AA311" s="72"/>
    </row>
    <row r="312" spans="1:27" x14ac:dyDescent="0.35">
      <c r="A312"/>
      <c r="B312" s="97"/>
      <c r="C312"/>
      <c r="D312"/>
      <c r="E312" s="88"/>
      <c r="F312"/>
      <c r="G312"/>
      <c r="H312"/>
      <c r="I312"/>
      <c r="J312"/>
      <c r="K312"/>
      <c r="L312"/>
      <c r="M312"/>
      <c r="N312"/>
      <c r="O312"/>
      <c r="P312" s="72"/>
      <c r="Q312" s="72"/>
      <c r="R312" s="72"/>
      <c r="S312" s="72"/>
      <c r="T312" s="72"/>
      <c r="U312" s="72"/>
      <c r="V312" s="72"/>
      <c r="W312" s="72"/>
      <c r="X312" s="72"/>
      <c r="Y312" s="72"/>
      <c r="Z312" s="72"/>
      <c r="AA312" s="72"/>
    </row>
    <row r="313" spans="1:27" x14ac:dyDescent="0.35">
      <c r="A313"/>
      <c r="B313" s="97"/>
      <c r="C313"/>
      <c r="D313"/>
      <c r="E313" s="88"/>
      <c r="F313"/>
      <c r="G313"/>
      <c r="H313"/>
      <c r="I313"/>
      <c r="J313"/>
      <c r="K313"/>
      <c r="L313"/>
      <c r="M313"/>
      <c r="N313"/>
      <c r="O313"/>
      <c r="P313" s="72"/>
      <c r="Q313" s="72"/>
      <c r="R313" s="72"/>
      <c r="S313" s="72"/>
      <c r="T313" s="72"/>
      <c r="U313" s="72"/>
      <c r="V313" s="72"/>
      <c r="W313" s="72"/>
      <c r="X313" s="72"/>
      <c r="Y313" s="72"/>
      <c r="Z313" s="72"/>
      <c r="AA313" s="72"/>
    </row>
    <row r="314" spans="1:27" x14ac:dyDescent="0.35">
      <c r="A314"/>
      <c r="B314" s="97"/>
      <c r="C314"/>
      <c r="D314"/>
      <c r="E314" s="88"/>
      <c r="F314"/>
      <c r="G314"/>
      <c r="H314"/>
      <c r="I314"/>
      <c r="J314"/>
      <c r="K314"/>
      <c r="L314"/>
      <c r="M314"/>
      <c r="N314"/>
      <c r="O314"/>
      <c r="P314" s="72"/>
      <c r="Q314" s="72"/>
      <c r="R314" s="72"/>
      <c r="S314" s="72"/>
      <c r="T314" s="72"/>
      <c r="U314" s="72"/>
      <c r="V314" s="72"/>
      <c r="W314" s="72"/>
      <c r="X314" s="72"/>
      <c r="Y314" s="72"/>
      <c r="Z314" s="72"/>
      <c r="AA314" s="72"/>
    </row>
    <row r="315" spans="1:27" x14ac:dyDescent="0.35">
      <c r="A315"/>
      <c r="B315" s="97"/>
      <c r="C315"/>
      <c r="D315"/>
      <c r="E315" s="88"/>
      <c r="F315"/>
      <c r="G315"/>
      <c r="H315"/>
      <c r="I315"/>
      <c r="J315"/>
      <c r="K315"/>
      <c r="L315"/>
      <c r="M315"/>
      <c r="N315"/>
      <c r="O315"/>
      <c r="P315" s="72"/>
      <c r="Q315" s="72"/>
      <c r="R315" s="72"/>
      <c r="S315" s="72"/>
      <c r="T315" s="72"/>
      <c r="U315" s="72"/>
      <c r="V315" s="72"/>
      <c r="W315" s="72"/>
      <c r="X315" s="72"/>
      <c r="Y315" s="72"/>
      <c r="Z315" s="72"/>
      <c r="AA315" s="72"/>
    </row>
    <row r="316" spans="1:27" x14ac:dyDescent="0.35">
      <c r="A316"/>
      <c r="B316" s="97"/>
      <c r="C316"/>
      <c r="D316"/>
      <c r="E316" s="88"/>
      <c r="F316"/>
      <c r="G316"/>
      <c r="H316"/>
      <c r="I316"/>
      <c r="J316"/>
      <c r="K316"/>
      <c r="L316"/>
      <c r="M316"/>
      <c r="N316"/>
      <c r="O316"/>
      <c r="P316" s="72"/>
      <c r="Q316" s="72"/>
      <c r="R316" s="72"/>
      <c r="S316" s="72"/>
      <c r="T316" s="72"/>
      <c r="U316" s="72"/>
      <c r="V316" s="72"/>
      <c r="W316" s="72"/>
      <c r="X316" s="72"/>
      <c r="Y316" s="72"/>
      <c r="Z316" s="72"/>
      <c r="AA316" s="72"/>
    </row>
    <row r="317" spans="1:27" x14ac:dyDescent="0.35">
      <c r="A317"/>
      <c r="B317" s="97"/>
      <c r="C317"/>
      <c r="D317"/>
      <c r="E317" s="88"/>
      <c r="F317"/>
      <c r="G317"/>
      <c r="H317"/>
      <c r="I317"/>
      <c r="J317"/>
      <c r="K317"/>
      <c r="L317"/>
      <c r="M317"/>
      <c r="N317"/>
      <c r="O317"/>
      <c r="P317" s="72"/>
      <c r="Q317" s="72"/>
      <c r="R317" s="72"/>
      <c r="S317" s="72"/>
      <c r="T317" s="72"/>
      <c r="U317" s="72"/>
      <c r="V317" s="72"/>
      <c r="W317" s="72"/>
      <c r="X317" s="72"/>
      <c r="Y317" s="72"/>
      <c r="Z317" s="72"/>
      <c r="AA317" s="72"/>
    </row>
    <row r="318" spans="1:27" x14ac:dyDescent="0.35">
      <c r="A318"/>
      <c r="B318" s="97"/>
      <c r="C318"/>
      <c r="D318"/>
      <c r="E318" s="88"/>
      <c r="F318"/>
      <c r="G318"/>
      <c r="H318"/>
      <c r="I318"/>
      <c r="J318"/>
      <c r="K318"/>
      <c r="L318"/>
      <c r="M318"/>
      <c r="N318"/>
      <c r="O318"/>
      <c r="P318" s="72"/>
      <c r="Q318" s="72"/>
      <c r="R318" s="72"/>
      <c r="S318" s="72"/>
      <c r="T318" s="72"/>
      <c r="U318" s="72"/>
      <c r="V318" s="72"/>
      <c r="W318" s="72"/>
      <c r="X318" s="72"/>
      <c r="Y318" s="72"/>
      <c r="Z318" s="72"/>
      <c r="AA318" s="72"/>
    </row>
    <row r="319" spans="1:27" x14ac:dyDescent="0.35">
      <c r="A319"/>
      <c r="B319" s="97"/>
      <c r="C319"/>
      <c r="D319"/>
      <c r="E319" s="88"/>
      <c r="F319"/>
      <c r="G319"/>
      <c r="H319"/>
      <c r="I319"/>
      <c r="J319"/>
      <c r="K319"/>
      <c r="L319"/>
      <c r="M319"/>
      <c r="N319"/>
      <c r="O319"/>
      <c r="P319" s="72"/>
      <c r="Q319" s="72"/>
      <c r="R319" s="72"/>
      <c r="S319" s="72"/>
      <c r="T319" s="72"/>
      <c r="U319" s="72"/>
      <c r="V319" s="72"/>
      <c r="W319" s="72"/>
      <c r="X319" s="72"/>
      <c r="Y319" s="72"/>
      <c r="Z319" s="72"/>
      <c r="AA319" s="72"/>
    </row>
    <row r="320" spans="1:27" x14ac:dyDescent="0.35">
      <c r="A320"/>
      <c r="B320" s="97"/>
      <c r="C320"/>
      <c r="D320"/>
      <c r="E320" s="88"/>
      <c r="F320"/>
      <c r="G320"/>
      <c r="H320"/>
      <c r="I320"/>
      <c r="J320"/>
      <c r="K320"/>
      <c r="L320"/>
      <c r="M320"/>
      <c r="N320"/>
      <c r="O320"/>
      <c r="P320" s="72"/>
      <c r="Q320" s="72"/>
      <c r="R320" s="72"/>
      <c r="S320" s="72"/>
      <c r="T320" s="72"/>
      <c r="U320" s="72"/>
      <c r="V320" s="72"/>
      <c r="W320" s="72"/>
      <c r="X320" s="72"/>
      <c r="Y320" s="72"/>
      <c r="Z320" s="72"/>
      <c r="AA320" s="72"/>
    </row>
    <row r="321" spans="1:27" x14ac:dyDescent="0.35">
      <c r="A321"/>
      <c r="B321" s="97"/>
      <c r="C321"/>
      <c r="D321"/>
      <c r="E321" s="88"/>
      <c r="F321"/>
      <c r="G321"/>
      <c r="H321"/>
      <c r="I321"/>
      <c r="J321"/>
      <c r="K321"/>
      <c r="L321"/>
      <c r="M321"/>
      <c r="N321"/>
      <c r="O321"/>
      <c r="P321" s="72"/>
      <c r="Q321" s="72"/>
      <c r="R321" s="72"/>
      <c r="S321" s="72"/>
      <c r="T321" s="72"/>
      <c r="U321" s="72"/>
      <c r="V321" s="72"/>
      <c r="W321" s="72"/>
      <c r="X321" s="72"/>
      <c r="Y321" s="72"/>
      <c r="Z321" s="72"/>
      <c r="AA321" s="72"/>
    </row>
    <row r="322" spans="1:27" x14ac:dyDescent="0.35">
      <c r="A322"/>
      <c r="B322" s="97"/>
      <c r="C322"/>
      <c r="D322"/>
      <c r="E322" s="88"/>
      <c r="F322"/>
      <c r="G322"/>
      <c r="H322"/>
      <c r="I322"/>
      <c r="J322"/>
      <c r="K322"/>
      <c r="L322"/>
      <c r="M322"/>
      <c r="N322"/>
      <c r="O322"/>
      <c r="P322" s="72"/>
      <c r="Q322" s="72"/>
      <c r="R322" s="72"/>
      <c r="S322" s="72"/>
      <c r="T322" s="72"/>
      <c r="U322" s="72"/>
      <c r="V322" s="72"/>
      <c r="W322" s="72"/>
      <c r="X322" s="72"/>
      <c r="Y322" s="72"/>
      <c r="Z322" s="72"/>
      <c r="AA322" s="72"/>
    </row>
    <row r="323" spans="1:27" x14ac:dyDescent="0.35">
      <c r="A323"/>
      <c r="B323" s="97"/>
      <c r="C323"/>
      <c r="D323"/>
      <c r="E323" s="88"/>
      <c r="F323"/>
      <c r="G323"/>
      <c r="H323"/>
      <c r="I323"/>
      <c r="J323"/>
      <c r="K323"/>
      <c r="L323"/>
      <c r="M323"/>
      <c r="N323"/>
      <c r="O323"/>
      <c r="P323" s="72"/>
      <c r="Q323" s="72"/>
      <c r="R323" s="72"/>
      <c r="S323" s="72"/>
      <c r="T323" s="72"/>
      <c r="U323" s="72"/>
      <c r="V323" s="72"/>
      <c r="W323" s="72"/>
      <c r="X323" s="72"/>
      <c r="Y323" s="72"/>
      <c r="Z323" s="72"/>
      <c r="AA323" s="72"/>
    </row>
    <row r="324" spans="1:27" x14ac:dyDescent="0.35">
      <c r="A324"/>
      <c r="B324" s="97"/>
      <c r="C324"/>
      <c r="D324"/>
      <c r="E324" s="88"/>
      <c r="F324"/>
      <c r="G324"/>
      <c r="H324"/>
      <c r="I324"/>
      <c r="J324"/>
      <c r="K324"/>
      <c r="L324"/>
      <c r="M324"/>
      <c r="N324"/>
      <c r="O324"/>
      <c r="P324" s="72"/>
      <c r="Q324" s="72"/>
      <c r="R324" s="72"/>
      <c r="S324" s="72"/>
      <c r="T324" s="72"/>
      <c r="U324" s="72"/>
      <c r="V324" s="72"/>
      <c r="W324" s="72"/>
      <c r="X324" s="72"/>
      <c r="Y324" s="72"/>
      <c r="Z324" s="72"/>
      <c r="AA324" s="72"/>
    </row>
    <row r="325" spans="1:27" x14ac:dyDescent="0.35">
      <c r="A325"/>
      <c r="B325" s="97"/>
      <c r="C325"/>
      <c r="D325"/>
      <c r="E325" s="88"/>
      <c r="F325"/>
      <c r="G325"/>
      <c r="H325"/>
      <c r="I325"/>
      <c r="J325"/>
      <c r="K325"/>
      <c r="L325"/>
      <c r="M325"/>
      <c r="N325"/>
      <c r="O325"/>
      <c r="P325" s="72"/>
      <c r="Q325" s="72"/>
      <c r="R325" s="72"/>
      <c r="S325" s="72"/>
      <c r="T325" s="72"/>
      <c r="U325" s="72"/>
      <c r="V325" s="72"/>
      <c r="W325" s="72"/>
      <c r="X325" s="72"/>
      <c r="Y325" s="72"/>
      <c r="Z325" s="72"/>
      <c r="AA325" s="72"/>
    </row>
    <row r="326" spans="1:27" x14ac:dyDescent="0.35">
      <c r="A326"/>
      <c r="B326" s="97"/>
      <c r="C326"/>
      <c r="D326"/>
      <c r="E326" s="88"/>
      <c r="F326"/>
      <c r="G326"/>
      <c r="H326"/>
      <c r="I326"/>
      <c r="J326"/>
      <c r="K326"/>
      <c r="L326"/>
      <c r="M326"/>
      <c r="N326"/>
      <c r="O326"/>
      <c r="P326" s="72"/>
      <c r="Q326" s="72"/>
      <c r="R326" s="72"/>
      <c r="S326" s="72"/>
      <c r="T326" s="72"/>
      <c r="U326" s="72"/>
      <c r="V326" s="72"/>
      <c r="W326" s="72"/>
      <c r="X326" s="72"/>
      <c r="Y326" s="72"/>
      <c r="Z326" s="72"/>
      <c r="AA326" s="72"/>
    </row>
    <row r="327" spans="1:27" x14ac:dyDescent="0.35">
      <c r="A327"/>
      <c r="B327" s="97"/>
      <c r="C327"/>
      <c r="D327"/>
      <c r="E327" s="88"/>
      <c r="F327"/>
      <c r="G327"/>
      <c r="H327"/>
      <c r="I327"/>
      <c r="J327"/>
      <c r="K327"/>
      <c r="L327"/>
      <c r="M327"/>
      <c r="N327"/>
      <c r="O327"/>
      <c r="P327" s="72"/>
      <c r="Q327" s="72"/>
      <c r="R327" s="72"/>
      <c r="S327" s="72"/>
      <c r="T327" s="72"/>
      <c r="U327" s="72"/>
      <c r="V327" s="72"/>
      <c r="W327" s="72"/>
      <c r="X327" s="72"/>
      <c r="Y327" s="72"/>
      <c r="Z327" s="72"/>
      <c r="AA327" s="72"/>
    </row>
    <row r="328" spans="1:27" x14ac:dyDescent="0.35">
      <c r="A328"/>
      <c r="B328" s="97"/>
      <c r="C328"/>
      <c r="D328"/>
      <c r="E328" s="88"/>
      <c r="F328"/>
      <c r="G328"/>
      <c r="H328"/>
      <c r="I328"/>
      <c r="J328"/>
      <c r="K328"/>
      <c r="L328"/>
      <c r="M328"/>
      <c r="N328"/>
      <c r="O328"/>
      <c r="P328" s="72"/>
      <c r="Q328" s="72"/>
      <c r="R328" s="72"/>
      <c r="S328" s="72"/>
      <c r="T328" s="72"/>
      <c r="U328" s="72"/>
      <c r="V328" s="72"/>
      <c r="W328" s="72"/>
      <c r="X328" s="72"/>
      <c r="Y328" s="72"/>
      <c r="Z328" s="72"/>
      <c r="AA328" s="72"/>
    </row>
    <row r="329" spans="1:27" x14ac:dyDescent="0.35">
      <c r="A329"/>
      <c r="B329" s="97"/>
      <c r="C329"/>
      <c r="D329"/>
      <c r="E329" s="88"/>
      <c r="F329"/>
      <c r="G329"/>
      <c r="H329"/>
      <c r="I329"/>
      <c r="J329"/>
      <c r="K329"/>
      <c r="L329"/>
      <c r="M329"/>
      <c r="N329"/>
      <c r="O329"/>
      <c r="P329" s="72"/>
      <c r="Q329" s="72"/>
      <c r="R329" s="72"/>
      <c r="S329" s="72"/>
      <c r="T329" s="72"/>
      <c r="U329" s="72"/>
      <c r="V329" s="72"/>
      <c r="W329" s="72"/>
      <c r="X329" s="72"/>
      <c r="Y329" s="72"/>
      <c r="Z329" s="72"/>
      <c r="AA329" s="72"/>
    </row>
    <row r="330" spans="1:27" x14ac:dyDescent="0.35">
      <c r="A330"/>
      <c r="B330" s="97"/>
      <c r="C330"/>
      <c r="D330"/>
      <c r="E330" s="88"/>
      <c r="F330"/>
      <c r="G330"/>
      <c r="H330"/>
      <c r="I330"/>
      <c r="J330"/>
      <c r="K330"/>
      <c r="L330"/>
      <c r="M330"/>
      <c r="N330"/>
      <c r="O330"/>
      <c r="P330" s="72"/>
      <c r="Q330" s="72"/>
      <c r="R330" s="72"/>
      <c r="S330" s="72"/>
      <c r="T330" s="72"/>
      <c r="U330" s="72"/>
      <c r="V330" s="72"/>
      <c r="W330" s="72"/>
      <c r="X330" s="72"/>
      <c r="Y330" s="72"/>
      <c r="Z330" s="72"/>
      <c r="AA330" s="72"/>
    </row>
    <row r="331" spans="1:27" x14ac:dyDescent="0.35">
      <c r="A331"/>
      <c r="B331" s="97"/>
      <c r="C331"/>
      <c r="D331"/>
      <c r="E331" s="88"/>
      <c r="F331"/>
      <c r="G331"/>
      <c r="H331"/>
      <c r="I331"/>
      <c r="J331"/>
      <c r="K331"/>
      <c r="L331"/>
      <c r="M331"/>
      <c r="N331"/>
      <c r="O331"/>
      <c r="P331" s="72"/>
      <c r="Q331" s="72"/>
      <c r="R331" s="72"/>
      <c r="S331" s="72"/>
      <c r="T331" s="72"/>
      <c r="U331" s="72"/>
      <c r="V331" s="72"/>
      <c r="W331" s="72"/>
      <c r="X331" s="72"/>
      <c r="Y331" s="72"/>
      <c r="Z331" s="72"/>
      <c r="AA331" s="72"/>
    </row>
    <row r="332" spans="1:27" x14ac:dyDescent="0.35">
      <c r="A332"/>
      <c r="B332" s="97"/>
      <c r="C332"/>
      <c r="D332"/>
      <c r="E332" s="88"/>
      <c r="F332"/>
      <c r="G332"/>
      <c r="H332"/>
      <c r="I332"/>
      <c r="J332"/>
      <c r="K332"/>
      <c r="L332"/>
      <c r="M332"/>
      <c r="N332"/>
      <c r="O332"/>
      <c r="P332" s="72"/>
      <c r="Q332" s="72"/>
      <c r="R332" s="72"/>
      <c r="S332" s="72"/>
      <c r="T332" s="72"/>
      <c r="U332" s="72"/>
      <c r="V332" s="72"/>
      <c r="W332" s="72"/>
      <c r="X332" s="72"/>
      <c r="Y332" s="72"/>
      <c r="Z332" s="72"/>
      <c r="AA332" s="72"/>
    </row>
    <row r="333" spans="1:27" x14ac:dyDescent="0.35">
      <c r="A333"/>
      <c r="B333" s="97"/>
      <c r="C333"/>
      <c r="D333"/>
      <c r="E333" s="88"/>
      <c r="F333"/>
      <c r="G333"/>
      <c r="H333"/>
      <c r="I333"/>
      <c r="J333"/>
      <c r="K333"/>
      <c r="L333"/>
      <c r="M333"/>
      <c r="N333"/>
      <c r="O333"/>
      <c r="P333" s="72"/>
      <c r="Q333" s="72"/>
      <c r="R333" s="72"/>
      <c r="S333" s="72"/>
      <c r="T333" s="72"/>
      <c r="U333" s="72"/>
      <c r="V333" s="72"/>
      <c r="W333" s="72"/>
      <c r="X333" s="72"/>
      <c r="Y333" s="72"/>
      <c r="Z333" s="72"/>
      <c r="AA333" s="72"/>
    </row>
    <row r="334" spans="1:27" x14ac:dyDescent="0.35">
      <c r="A334"/>
      <c r="B334" s="97"/>
      <c r="C334"/>
      <c r="D334"/>
      <c r="E334" s="88"/>
      <c r="F334"/>
      <c r="G334"/>
      <c r="H334"/>
      <c r="I334"/>
      <c r="J334"/>
      <c r="K334"/>
      <c r="L334"/>
      <c r="M334"/>
      <c r="N334"/>
      <c r="O334"/>
      <c r="P334" s="72"/>
      <c r="Q334" s="72"/>
      <c r="R334" s="72"/>
      <c r="S334" s="72"/>
      <c r="T334" s="72"/>
      <c r="U334" s="72"/>
      <c r="V334" s="72"/>
      <c r="W334" s="72"/>
      <c r="X334" s="72"/>
      <c r="Y334" s="72"/>
      <c r="Z334" s="72"/>
      <c r="AA334" s="72"/>
    </row>
    <row r="335" spans="1:27" x14ac:dyDescent="0.35">
      <c r="A335"/>
      <c r="B335" s="97"/>
      <c r="C335"/>
      <c r="D335"/>
      <c r="E335" s="88"/>
      <c r="F335"/>
      <c r="G335"/>
      <c r="H335"/>
      <c r="I335"/>
      <c r="J335"/>
      <c r="K335"/>
      <c r="L335"/>
      <c r="M335"/>
      <c r="N335"/>
      <c r="O335"/>
      <c r="P335" s="72"/>
      <c r="Q335" s="72"/>
      <c r="R335" s="72"/>
      <c r="S335" s="72"/>
      <c r="T335" s="72"/>
      <c r="U335" s="72"/>
      <c r="V335" s="72"/>
      <c r="W335" s="72"/>
      <c r="X335" s="72"/>
      <c r="Y335" s="72"/>
      <c r="Z335" s="72"/>
      <c r="AA335" s="72"/>
    </row>
    <row r="336" spans="1:27" x14ac:dyDescent="0.35">
      <c r="A336"/>
      <c r="B336" s="97"/>
      <c r="C336"/>
      <c r="D336"/>
      <c r="E336" s="88"/>
      <c r="F336"/>
      <c r="G336"/>
      <c r="H336"/>
      <c r="I336"/>
      <c r="J336"/>
      <c r="K336"/>
      <c r="L336"/>
      <c r="M336"/>
      <c r="N336"/>
      <c r="O336"/>
      <c r="P336" s="72"/>
      <c r="Q336" s="72"/>
      <c r="R336" s="72"/>
      <c r="S336" s="72"/>
      <c r="T336" s="72"/>
      <c r="U336" s="72"/>
      <c r="V336" s="72"/>
      <c r="W336" s="72"/>
      <c r="X336" s="72"/>
      <c r="Y336" s="72"/>
      <c r="Z336" s="72"/>
      <c r="AA336" s="72"/>
    </row>
    <row r="337" spans="1:27" x14ac:dyDescent="0.35">
      <c r="A337"/>
      <c r="B337" s="97"/>
      <c r="C337"/>
      <c r="D337"/>
      <c r="E337" s="88"/>
      <c r="F337"/>
      <c r="G337"/>
      <c r="H337"/>
      <c r="I337"/>
      <c r="J337"/>
      <c r="K337"/>
      <c r="L337"/>
      <c r="M337"/>
      <c r="N337"/>
      <c r="O337"/>
      <c r="P337" s="72"/>
      <c r="Q337" s="72"/>
      <c r="R337" s="72"/>
      <c r="S337" s="72"/>
      <c r="T337" s="72"/>
      <c r="U337" s="72"/>
      <c r="V337" s="72"/>
      <c r="W337" s="72"/>
      <c r="X337" s="72"/>
      <c r="Y337" s="72"/>
      <c r="Z337" s="72"/>
      <c r="AA337" s="72"/>
    </row>
    <row r="338" spans="1:27" x14ac:dyDescent="0.35">
      <c r="A338"/>
      <c r="B338" s="97"/>
      <c r="C338"/>
      <c r="D338"/>
      <c r="E338" s="88"/>
      <c r="F338"/>
      <c r="G338"/>
      <c r="H338"/>
      <c r="I338"/>
      <c r="J338"/>
      <c r="K338"/>
      <c r="L338"/>
      <c r="M338"/>
      <c r="N338"/>
      <c r="O338"/>
      <c r="P338" s="72"/>
      <c r="Q338" s="72"/>
      <c r="R338" s="72"/>
      <c r="S338" s="72"/>
      <c r="T338" s="72"/>
      <c r="U338" s="72"/>
      <c r="V338" s="72"/>
      <c r="W338" s="72"/>
      <c r="X338" s="72"/>
      <c r="Y338" s="72"/>
      <c r="Z338" s="72"/>
      <c r="AA338" s="72"/>
    </row>
    <row r="339" spans="1:27" x14ac:dyDescent="0.35">
      <c r="A339"/>
      <c r="B339" s="97"/>
      <c r="C339"/>
      <c r="D339"/>
      <c r="E339" s="88"/>
      <c r="F339"/>
      <c r="G339"/>
      <c r="H339"/>
      <c r="I339"/>
      <c r="J339"/>
      <c r="K339"/>
      <c r="L339"/>
      <c r="M339"/>
      <c r="N339"/>
      <c r="O339"/>
      <c r="P339" s="72"/>
      <c r="Q339" s="72"/>
      <c r="R339" s="72"/>
      <c r="S339" s="72"/>
      <c r="T339" s="72"/>
      <c r="U339" s="72"/>
      <c r="V339" s="72"/>
      <c r="W339" s="72"/>
      <c r="X339" s="72"/>
      <c r="Y339" s="72"/>
      <c r="Z339" s="72"/>
      <c r="AA339" s="72"/>
    </row>
    <row r="340" spans="1:27" x14ac:dyDescent="0.35">
      <c r="A340"/>
      <c r="B340" s="97"/>
      <c r="C340"/>
      <c r="D340"/>
      <c r="E340" s="88"/>
      <c r="F340"/>
      <c r="G340"/>
      <c r="H340"/>
      <c r="I340"/>
      <c r="J340"/>
      <c r="K340"/>
      <c r="L340"/>
      <c r="M340"/>
      <c r="N340"/>
      <c r="O340"/>
      <c r="P340" s="72"/>
      <c r="Q340" s="72"/>
      <c r="R340" s="72"/>
      <c r="S340" s="72"/>
      <c r="T340" s="72"/>
      <c r="U340" s="72"/>
      <c r="V340" s="72"/>
      <c r="W340" s="72"/>
      <c r="X340" s="72"/>
      <c r="Y340" s="72"/>
      <c r="Z340" s="72"/>
      <c r="AA340" s="72"/>
    </row>
    <row r="341" spans="1:27" x14ac:dyDescent="0.35">
      <c r="A341"/>
      <c r="B341" s="97"/>
      <c r="C341"/>
      <c r="D341"/>
      <c r="E341" s="88"/>
      <c r="F341"/>
      <c r="G341"/>
      <c r="H341"/>
      <c r="I341"/>
      <c r="J341"/>
      <c r="K341"/>
      <c r="L341"/>
      <c r="M341"/>
      <c r="N341"/>
      <c r="O341"/>
      <c r="P341" s="72"/>
      <c r="Q341" s="72"/>
      <c r="R341" s="72"/>
      <c r="S341" s="72"/>
      <c r="T341" s="72"/>
      <c r="U341" s="72"/>
      <c r="V341" s="72"/>
      <c r="W341" s="72"/>
      <c r="X341" s="72"/>
      <c r="Y341" s="72"/>
      <c r="Z341" s="72"/>
      <c r="AA341" s="72"/>
    </row>
    <row r="342" spans="1:27" x14ac:dyDescent="0.35">
      <c r="A342"/>
      <c r="B342" s="97"/>
      <c r="C342"/>
      <c r="D342"/>
      <c r="E342" s="88"/>
      <c r="F342"/>
      <c r="G342"/>
      <c r="H342"/>
      <c r="I342"/>
      <c r="J342"/>
      <c r="K342"/>
      <c r="L342"/>
      <c r="M342"/>
      <c r="N342"/>
      <c r="O342"/>
      <c r="P342" s="72"/>
      <c r="Q342" s="72"/>
      <c r="R342" s="72"/>
      <c r="S342" s="72"/>
      <c r="T342" s="72"/>
      <c r="U342" s="72"/>
      <c r="V342" s="72"/>
      <c r="W342" s="72"/>
      <c r="X342" s="72"/>
      <c r="Y342" s="72"/>
      <c r="Z342" s="72"/>
      <c r="AA342" s="72"/>
    </row>
    <row r="343" spans="1:27" x14ac:dyDescent="0.35">
      <c r="A343"/>
      <c r="B343" s="97"/>
      <c r="C343"/>
      <c r="D343"/>
      <c r="E343" s="88"/>
      <c r="F343"/>
      <c r="G343"/>
      <c r="H343"/>
      <c r="I343"/>
      <c r="J343"/>
      <c r="K343"/>
      <c r="L343"/>
      <c r="M343"/>
      <c r="N343"/>
      <c r="O343"/>
      <c r="P343" s="72"/>
      <c r="Q343" s="72"/>
      <c r="R343" s="72"/>
      <c r="S343" s="72"/>
      <c r="T343" s="72"/>
      <c r="U343" s="72"/>
      <c r="V343" s="72"/>
      <c r="W343" s="72"/>
      <c r="X343" s="72"/>
      <c r="Y343" s="72"/>
      <c r="Z343" s="72"/>
      <c r="AA343" s="72"/>
    </row>
    <row r="344" spans="1:27" x14ac:dyDescent="0.35">
      <c r="A344"/>
      <c r="B344" s="97"/>
      <c r="C344"/>
      <c r="D344"/>
      <c r="E344" s="88"/>
      <c r="F344"/>
      <c r="G344"/>
      <c r="H344"/>
      <c r="I344"/>
      <c r="J344"/>
      <c r="K344"/>
      <c r="L344"/>
      <c r="M344"/>
      <c r="N344"/>
      <c r="O344"/>
      <c r="P344" s="72"/>
      <c r="Q344" s="72"/>
      <c r="R344" s="72"/>
      <c r="S344" s="72"/>
      <c r="T344" s="72"/>
      <c r="U344" s="72"/>
      <c r="V344" s="72"/>
      <c r="W344" s="72"/>
      <c r="X344" s="72"/>
      <c r="Y344" s="72"/>
      <c r="Z344" s="72"/>
      <c r="AA344" s="72"/>
    </row>
    <row r="345" spans="1:27" x14ac:dyDescent="0.35">
      <c r="A345"/>
      <c r="B345" s="97"/>
      <c r="C345"/>
      <c r="D345"/>
      <c r="E345" s="88"/>
      <c r="F345"/>
      <c r="G345"/>
      <c r="H345"/>
      <c r="I345"/>
      <c r="J345"/>
      <c r="K345"/>
      <c r="L345"/>
      <c r="M345"/>
      <c r="N345"/>
      <c r="O345"/>
      <c r="P345" s="72"/>
      <c r="Q345" s="72"/>
      <c r="R345" s="72"/>
      <c r="S345" s="72"/>
      <c r="T345" s="72"/>
      <c r="U345" s="72"/>
      <c r="V345" s="72"/>
      <c r="W345" s="72"/>
      <c r="X345" s="72"/>
      <c r="Y345" s="72"/>
      <c r="Z345" s="72"/>
      <c r="AA345" s="72"/>
    </row>
    <row r="346" spans="1:27" x14ac:dyDescent="0.35">
      <c r="A346"/>
      <c r="B346" s="97"/>
      <c r="C346"/>
      <c r="D346"/>
      <c r="E346" s="88"/>
      <c r="F346"/>
      <c r="G346"/>
      <c r="H346"/>
      <c r="I346"/>
      <c r="J346"/>
      <c r="K346"/>
      <c r="L346"/>
      <c r="M346"/>
      <c r="N346"/>
      <c r="O346"/>
      <c r="P346" s="72"/>
      <c r="Q346" s="72"/>
      <c r="R346" s="72"/>
      <c r="S346" s="72"/>
      <c r="T346" s="72"/>
      <c r="U346" s="72"/>
      <c r="V346" s="72"/>
      <c r="W346" s="72"/>
      <c r="X346" s="72"/>
      <c r="Y346" s="72"/>
      <c r="Z346" s="72"/>
      <c r="AA346" s="72"/>
    </row>
    <row r="347" spans="1:27" x14ac:dyDescent="0.35">
      <c r="A347"/>
      <c r="B347" s="97"/>
      <c r="C347"/>
      <c r="D347"/>
      <c r="E347" s="88"/>
      <c r="F347"/>
      <c r="G347"/>
      <c r="H347"/>
      <c r="I347"/>
      <c r="J347"/>
      <c r="K347"/>
      <c r="L347"/>
      <c r="M347"/>
      <c r="N347"/>
      <c r="O347"/>
      <c r="P347" s="72"/>
      <c r="Q347" s="72"/>
      <c r="R347" s="72"/>
      <c r="S347" s="72"/>
      <c r="T347" s="72"/>
      <c r="U347" s="72"/>
      <c r="V347" s="72"/>
      <c r="W347" s="72"/>
      <c r="X347" s="72"/>
      <c r="Y347" s="72"/>
      <c r="Z347" s="72"/>
      <c r="AA347" s="72"/>
    </row>
    <row r="348" spans="1:27" x14ac:dyDescent="0.35">
      <c r="A348"/>
      <c r="B348" s="97"/>
      <c r="C348"/>
      <c r="D348"/>
      <c r="E348" s="88"/>
      <c r="F348"/>
      <c r="G348"/>
      <c r="H348"/>
      <c r="I348"/>
      <c r="J348"/>
      <c r="K348"/>
      <c r="L348"/>
      <c r="M348"/>
      <c r="N348"/>
      <c r="O348"/>
      <c r="P348" s="72"/>
      <c r="Q348" s="72"/>
      <c r="R348" s="72"/>
      <c r="S348" s="72"/>
      <c r="T348" s="72"/>
      <c r="U348" s="72"/>
      <c r="V348" s="72"/>
      <c r="W348" s="72"/>
      <c r="X348" s="72"/>
      <c r="Y348" s="72"/>
      <c r="Z348" s="72"/>
      <c r="AA348" s="72"/>
    </row>
    <row r="349" spans="1:27" x14ac:dyDescent="0.35">
      <c r="A349"/>
      <c r="B349" s="97"/>
      <c r="C349"/>
      <c r="D349"/>
      <c r="E349" s="88"/>
      <c r="F349"/>
      <c r="G349"/>
      <c r="H349"/>
      <c r="I349"/>
      <c r="J349"/>
      <c r="K349"/>
      <c r="L349"/>
      <c r="M349"/>
      <c r="N349"/>
      <c r="O349"/>
      <c r="P349" s="72"/>
      <c r="Q349" s="72"/>
      <c r="R349" s="72"/>
      <c r="S349" s="72"/>
      <c r="T349" s="72"/>
      <c r="U349" s="72"/>
      <c r="V349" s="72"/>
      <c r="W349" s="72"/>
      <c r="X349" s="72"/>
      <c r="Y349" s="72"/>
      <c r="Z349" s="72"/>
      <c r="AA349" s="72"/>
    </row>
    <row r="350" spans="1:27" x14ac:dyDescent="0.35">
      <c r="A350"/>
      <c r="B350" s="97"/>
      <c r="C350"/>
      <c r="D350"/>
      <c r="E350" s="88"/>
      <c r="F350"/>
      <c r="G350"/>
      <c r="H350"/>
      <c r="I350"/>
      <c r="J350"/>
      <c r="K350"/>
      <c r="L350"/>
      <c r="M350"/>
      <c r="N350"/>
      <c r="O350"/>
      <c r="P350" s="72"/>
      <c r="Q350" s="72"/>
      <c r="R350" s="72"/>
      <c r="S350" s="72"/>
      <c r="T350" s="72"/>
      <c r="U350" s="72"/>
      <c r="V350" s="72"/>
      <c r="W350" s="72"/>
      <c r="X350" s="72"/>
      <c r="Y350" s="72"/>
      <c r="Z350" s="72"/>
      <c r="AA350" s="72"/>
    </row>
    <row r="351" spans="1:27" x14ac:dyDescent="0.35">
      <c r="A351"/>
      <c r="B351" s="97"/>
      <c r="C351"/>
      <c r="D351"/>
      <c r="E351" s="88"/>
      <c r="F351"/>
      <c r="G351"/>
      <c r="H351"/>
      <c r="I351"/>
      <c r="J351"/>
      <c r="K351"/>
      <c r="L351"/>
      <c r="M351"/>
      <c r="N351"/>
      <c r="O351"/>
      <c r="P351" s="72"/>
      <c r="Q351" s="72"/>
      <c r="R351" s="72"/>
      <c r="S351" s="72"/>
      <c r="T351" s="72"/>
      <c r="U351" s="72"/>
      <c r="V351" s="72"/>
      <c r="W351" s="72"/>
      <c r="X351" s="72"/>
      <c r="Y351" s="72"/>
      <c r="Z351" s="72"/>
      <c r="AA351" s="72"/>
    </row>
    <row r="352" spans="1:27" x14ac:dyDescent="0.35">
      <c r="A352"/>
      <c r="B352" s="97"/>
      <c r="C352"/>
      <c r="D352"/>
      <c r="E352" s="88"/>
      <c r="F352"/>
      <c r="G352"/>
      <c r="H352"/>
      <c r="I352"/>
      <c r="J352"/>
      <c r="K352"/>
      <c r="L352"/>
      <c r="M352"/>
      <c r="N352"/>
      <c r="O352"/>
      <c r="P352" s="72"/>
      <c r="Q352" s="72"/>
      <c r="R352" s="72"/>
      <c r="S352" s="72"/>
      <c r="T352" s="72"/>
      <c r="U352" s="72"/>
      <c r="V352" s="72"/>
      <c r="W352" s="72"/>
      <c r="X352" s="72"/>
      <c r="Y352" s="72"/>
      <c r="Z352" s="72"/>
      <c r="AA352" s="72"/>
    </row>
    <row r="353" spans="1:27" x14ac:dyDescent="0.35">
      <c r="A353"/>
      <c r="B353" s="97"/>
      <c r="C353"/>
      <c r="D353"/>
      <c r="E353" s="88"/>
      <c r="F353"/>
      <c r="G353"/>
      <c r="H353"/>
      <c r="I353"/>
      <c r="J353"/>
      <c r="K353"/>
      <c r="L353"/>
      <c r="M353"/>
      <c r="N353"/>
      <c r="O353"/>
      <c r="P353" s="72"/>
      <c r="Q353" s="72"/>
      <c r="R353" s="72"/>
      <c r="S353" s="72"/>
      <c r="T353" s="72"/>
      <c r="U353" s="72"/>
      <c r="V353" s="72"/>
      <c r="W353" s="72"/>
      <c r="X353" s="72"/>
      <c r="Y353" s="72"/>
      <c r="Z353" s="72"/>
      <c r="AA353" s="72"/>
    </row>
    <row r="354" spans="1:27" x14ac:dyDescent="0.35">
      <c r="A354"/>
      <c r="B354" s="97"/>
      <c r="C354"/>
      <c r="D354"/>
      <c r="E354" s="88"/>
      <c r="F354"/>
      <c r="G354"/>
      <c r="H354"/>
      <c r="I354"/>
      <c r="J354"/>
      <c r="K354"/>
      <c r="L354"/>
      <c r="M354"/>
      <c r="N354"/>
      <c r="O354"/>
      <c r="P354" s="72"/>
      <c r="Q354" s="72"/>
      <c r="R354" s="72"/>
      <c r="S354" s="72"/>
      <c r="T354" s="72"/>
      <c r="U354" s="72"/>
      <c r="V354" s="72"/>
      <c r="W354" s="72"/>
      <c r="X354" s="72"/>
      <c r="Y354" s="72"/>
      <c r="Z354" s="72"/>
      <c r="AA354" s="72"/>
    </row>
    <row r="355" spans="1:27" x14ac:dyDescent="0.35">
      <c r="A355"/>
      <c r="B355" s="97"/>
      <c r="C355"/>
      <c r="D355"/>
      <c r="E355" s="88"/>
      <c r="F355"/>
      <c r="G355"/>
      <c r="H355"/>
      <c r="I355"/>
      <c r="J355"/>
      <c r="K355"/>
      <c r="L355"/>
      <c r="M355"/>
      <c r="N355"/>
      <c r="O355"/>
      <c r="P355" s="72"/>
      <c r="Q355" s="72"/>
      <c r="R355" s="72"/>
      <c r="S355" s="72"/>
      <c r="T355" s="72"/>
      <c r="U355" s="72"/>
      <c r="V355" s="72"/>
      <c r="W355" s="72"/>
      <c r="X355" s="72"/>
      <c r="Y355" s="72"/>
      <c r="Z355" s="72"/>
      <c r="AA355" s="72"/>
    </row>
    <row r="356" spans="1:27" x14ac:dyDescent="0.35">
      <c r="A356"/>
      <c r="B356" s="97"/>
      <c r="C356"/>
      <c r="D356"/>
      <c r="E356" s="88"/>
      <c r="F356"/>
      <c r="G356"/>
      <c r="H356"/>
      <c r="I356"/>
      <c r="J356"/>
      <c r="K356"/>
      <c r="L356"/>
      <c r="M356"/>
      <c r="N356"/>
      <c r="O356"/>
      <c r="P356" s="72"/>
      <c r="Q356" s="72"/>
      <c r="R356" s="72"/>
      <c r="S356" s="72"/>
      <c r="T356" s="72"/>
      <c r="U356" s="72"/>
      <c r="V356" s="72"/>
      <c r="W356" s="72"/>
      <c r="X356" s="72"/>
      <c r="Y356" s="72"/>
      <c r="Z356" s="72"/>
      <c r="AA356" s="72"/>
    </row>
    <row r="357" spans="1:27" x14ac:dyDescent="0.35">
      <c r="A357"/>
      <c r="B357" s="97"/>
      <c r="C357"/>
      <c r="D357"/>
      <c r="E357" s="88"/>
      <c r="F357"/>
      <c r="G357"/>
      <c r="H357"/>
      <c r="I357"/>
      <c r="J357"/>
      <c r="K357"/>
      <c r="L357"/>
      <c r="M357"/>
      <c r="N357"/>
      <c r="O357"/>
      <c r="P357" s="72"/>
      <c r="Q357" s="72"/>
      <c r="R357" s="72"/>
      <c r="S357" s="72"/>
      <c r="T357" s="72"/>
      <c r="U357" s="72"/>
      <c r="V357" s="72"/>
      <c r="W357" s="72"/>
      <c r="X357" s="72"/>
      <c r="Y357" s="72"/>
      <c r="Z357" s="72"/>
      <c r="AA357" s="72"/>
    </row>
    <row r="358" spans="1:27" x14ac:dyDescent="0.35">
      <c r="A358"/>
      <c r="B358" s="97"/>
      <c r="C358"/>
      <c r="D358"/>
      <c r="E358" s="88"/>
      <c r="F358"/>
      <c r="G358"/>
      <c r="H358"/>
      <c r="I358"/>
      <c r="J358"/>
      <c r="K358"/>
      <c r="L358"/>
      <c r="M358"/>
      <c r="N358"/>
      <c r="O358"/>
      <c r="P358" s="72"/>
      <c r="Q358" s="72"/>
      <c r="R358" s="72"/>
      <c r="S358" s="72"/>
      <c r="T358" s="72"/>
      <c r="U358" s="72"/>
      <c r="V358" s="72"/>
      <c r="W358" s="72"/>
      <c r="X358" s="72"/>
      <c r="Y358" s="72"/>
      <c r="Z358" s="72"/>
      <c r="AA358" s="72"/>
    </row>
    <row r="359" spans="1:27" x14ac:dyDescent="0.35">
      <c r="A359"/>
      <c r="B359" s="97"/>
      <c r="C359"/>
      <c r="D359"/>
      <c r="E359" s="88"/>
      <c r="F359"/>
      <c r="G359"/>
      <c r="H359"/>
      <c r="I359"/>
      <c r="J359"/>
      <c r="K359"/>
      <c r="L359"/>
      <c r="M359"/>
      <c r="N359"/>
      <c r="O359"/>
      <c r="P359" s="72"/>
      <c r="Q359" s="72"/>
      <c r="R359" s="72"/>
      <c r="S359" s="72"/>
      <c r="T359" s="72"/>
      <c r="U359" s="72"/>
      <c r="V359" s="72"/>
      <c r="W359" s="72"/>
      <c r="X359" s="72"/>
      <c r="Y359" s="72"/>
      <c r="Z359" s="72"/>
      <c r="AA359" s="72"/>
    </row>
    <row r="360" spans="1:27" x14ac:dyDescent="0.35">
      <c r="A360"/>
      <c r="B360" s="97"/>
      <c r="C360"/>
      <c r="D360"/>
      <c r="E360" s="88"/>
      <c r="F360"/>
      <c r="G360"/>
      <c r="H360"/>
      <c r="I360"/>
      <c r="J360"/>
      <c r="K360"/>
      <c r="L360"/>
      <c r="M360"/>
      <c r="N360"/>
      <c r="O360"/>
      <c r="P360" s="72"/>
      <c r="Q360" s="72"/>
      <c r="R360" s="72"/>
      <c r="S360" s="72"/>
      <c r="T360" s="72"/>
      <c r="U360" s="72"/>
      <c r="V360" s="72"/>
      <c r="W360" s="72"/>
      <c r="X360" s="72"/>
      <c r="Y360" s="72"/>
      <c r="Z360" s="72"/>
      <c r="AA360" s="72"/>
    </row>
    <row r="361" spans="1:27" x14ac:dyDescent="0.35">
      <c r="A361"/>
      <c r="B361" s="97"/>
      <c r="C361"/>
      <c r="D361"/>
      <c r="E361" s="88"/>
      <c r="F361"/>
      <c r="G361"/>
      <c r="H361"/>
      <c r="I361"/>
      <c r="J361"/>
      <c r="K361"/>
      <c r="L361"/>
      <c r="M361"/>
      <c r="N361"/>
      <c r="O361"/>
      <c r="P361" s="72"/>
      <c r="Q361" s="72"/>
      <c r="R361" s="72"/>
      <c r="S361" s="72"/>
      <c r="T361" s="72"/>
      <c r="U361" s="72"/>
      <c r="V361" s="72"/>
      <c r="W361" s="72"/>
      <c r="X361" s="72"/>
      <c r="Y361" s="72"/>
      <c r="Z361" s="72"/>
      <c r="AA361" s="72"/>
    </row>
    <row r="362" spans="1:27" x14ac:dyDescent="0.35">
      <c r="A362"/>
      <c r="B362" s="97"/>
      <c r="C362"/>
      <c r="D362"/>
      <c r="E362" s="88"/>
      <c r="F362"/>
      <c r="G362"/>
      <c r="H362"/>
      <c r="I362"/>
      <c r="J362"/>
      <c r="K362"/>
      <c r="L362"/>
      <c r="M362"/>
      <c r="N362"/>
      <c r="O362"/>
      <c r="P362" s="72"/>
      <c r="Q362" s="72"/>
      <c r="R362" s="72"/>
      <c r="S362" s="72"/>
      <c r="T362" s="72"/>
      <c r="U362" s="72"/>
      <c r="V362" s="72"/>
      <c r="W362" s="72"/>
      <c r="X362" s="72"/>
      <c r="Y362" s="72"/>
      <c r="Z362" s="72"/>
      <c r="AA362" s="72"/>
    </row>
    <row r="363" spans="1:27" x14ac:dyDescent="0.35">
      <c r="A363"/>
      <c r="B363" s="97"/>
      <c r="C363"/>
      <c r="D363"/>
      <c r="E363" s="88"/>
      <c r="F363"/>
      <c r="G363"/>
      <c r="H363"/>
      <c r="I363"/>
      <c r="J363"/>
      <c r="K363"/>
      <c r="L363"/>
      <c r="M363"/>
      <c r="N363"/>
      <c r="O363"/>
      <c r="P363" s="72"/>
      <c r="Q363" s="72"/>
      <c r="R363" s="72"/>
      <c r="S363" s="72"/>
      <c r="T363" s="72"/>
      <c r="U363" s="72"/>
      <c r="V363" s="72"/>
      <c r="W363" s="72"/>
      <c r="X363" s="72"/>
      <c r="Y363" s="72"/>
      <c r="Z363" s="72"/>
      <c r="AA363" s="72"/>
    </row>
    <row r="364" spans="1:27" x14ac:dyDescent="0.35">
      <c r="A364"/>
      <c r="B364" s="97"/>
      <c r="C364"/>
      <c r="D364"/>
      <c r="E364" s="88"/>
      <c r="F364"/>
      <c r="G364"/>
      <c r="H364"/>
      <c r="I364"/>
      <c r="J364"/>
      <c r="K364"/>
      <c r="L364"/>
      <c r="M364"/>
      <c r="N364"/>
      <c r="O364"/>
      <c r="P364" s="72"/>
      <c r="Q364" s="72"/>
      <c r="R364" s="72"/>
      <c r="S364" s="72"/>
      <c r="T364" s="72"/>
      <c r="U364" s="72"/>
      <c r="V364" s="72"/>
      <c r="W364" s="72"/>
      <c r="X364" s="72"/>
      <c r="Y364" s="72"/>
      <c r="Z364" s="72"/>
      <c r="AA364" s="72"/>
    </row>
    <row r="365" spans="1:27" x14ac:dyDescent="0.35">
      <c r="A365"/>
      <c r="B365" s="97"/>
      <c r="C365"/>
      <c r="D365"/>
      <c r="E365" s="88"/>
      <c r="F365"/>
      <c r="G365"/>
      <c r="H365"/>
      <c r="I365"/>
      <c r="J365"/>
      <c r="K365"/>
      <c r="L365"/>
      <c r="M365"/>
      <c r="N365"/>
      <c r="O365"/>
      <c r="P365" s="72"/>
      <c r="Q365" s="72"/>
      <c r="R365" s="72"/>
      <c r="S365" s="72"/>
      <c r="T365" s="72"/>
      <c r="U365" s="72"/>
      <c r="V365" s="72"/>
      <c r="W365" s="72"/>
      <c r="X365" s="72"/>
      <c r="Y365" s="72"/>
      <c r="Z365" s="72"/>
      <c r="AA365" s="72"/>
    </row>
    <row r="366" spans="1:27" x14ac:dyDescent="0.35">
      <c r="A366"/>
      <c r="B366" s="97"/>
      <c r="C366"/>
      <c r="D366"/>
      <c r="E366" s="88"/>
      <c r="F366"/>
      <c r="G366"/>
      <c r="H366"/>
      <c r="I366"/>
      <c r="J366"/>
      <c r="K366"/>
      <c r="L366"/>
      <c r="M366"/>
      <c r="N366"/>
      <c r="O366"/>
      <c r="P366" s="72"/>
      <c r="Q366" s="72"/>
      <c r="R366" s="72"/>
      <c r="S366" s="72"/>
      <c r="T366" s="72"/>
      <c r="U366" s="72"/>
      <c r="V366" s="72"/>
      <c r="W366" s="72"/>
      <c r="X366" s="72"/>
      <c r="Y366" s="72"/>
      <c r="Z366" s="72"/>
      <c r="AA366" s="72"/>
    </row>
    <row r="367" spans="1:27" x14ac:dyDescent="0.35">
      <c r="A367"/>
      <c r="B367" s="97"/>
      <c r="C367"/>
      <c r="D367"/>
      <c r="E367" s="88"/>
      <c r="F367"/>
      <c r="G367"/>
      <c r="H367"/>
      <c r="I367"/>
      <c r="J367"/>
      <c r="K367"/>
      <c r="L367"/>
      <c r="M367"/>
      <c r="N367"/>
      <c r="O367"/>
      <c r="P367" s="72"/>
      <c r="Q367" s="72"/>
      <c r="R367" s="72"/>
      <c r="S367" s="72"/>
      <c r="T367" s="72"/>
      <c r="U367" s="72"/>
      <c r="V367" s="72"/>
      <c r="W367" s="72"/>
      <c r="X367" s="72"/>
      <c r="Y367" s="72"/>
      <c r="Z367" s="72"/>
      <c r="AA367" s="72"/>
    </row>
    <row r="368" spans="1:27" x14ac:dyDescent="0.35">
      <c r="A368"/>
      <c r="B368" s="97"/>
      <c r="C368"/>
      <c r="D368"/>
      <c r="E368" s="88"/>
      <c r="F368"/>
      <c r="G368"/>
      <c r="H368"/>
      <c r="I368"/>
      <c r="J368"/>
      <c r="K368"/>
      <c r="L368"/>
      <c r="M368"/>
      <c r="N368"/>
      <c r="O368"/>
      <c r="P368" s="72"/>
      <c r="Q368" s="72"/>
      <c r="R368" s="72"/>
      <c r="S368" s="72"/>
      <c r="T368" s="72"/>
      <c r="U368" s="72"/>
      <c r="V368" s="72"/>
      <c r="W368" s="72"/>
      <c r="X368" s="72"/>
      <c r="Y368" s="72"/>
      <c r="Z368" s="72"/>
      <c r="AA368" s="72"/>
    </row>
    <row r="369" spans="1:27" x14ac:dyDescent="0.35">
      <c r="A369"/>
      <c r="B369" s="97"/>
      <c r="C369"/>
      <c r="D369"/>
      <c r="E369" s="88"/>
      <c r="F369"/>
      <c r="G369"/>
      <c r="H369"/>
      <c r="I369"/>
      <c r="J369"/>
      <c r="K369"/>
      <c r="L369"/>
      <c r="M369"/>
      <c r="N369"/>
      <c r="O369"/>
      <c r="P369" s="72"/>
      <c r="Q369" s="72"/>
      <c r="R369" s="72"/>
      <c r="S369" s="72"/>
      <c r="T369" s="72"/>
      <c r="U369" s="72"/>
      <c r="V369" s="72"/>
      <c r="W369" s="72"/>
      <c r="X369" s="72"/>
      <c r="Y369" s="72"/>
      <c r="Z369" s="72"/>
      <c r="AA369" s="72"/>
    </row>
    <row r="370" spans="1:27" x14ac:dyDescent="0.35">
      <c r="A370"/>
      <c r="B370" s="97"/>
      <c r="C370"/>
      <c r="D370"/>
      <c r="E370" s="88"/>
      <c r="F370"/>
      <c r="G370"/>
      <c r="H370"/>
      <c r="I370"/>
      <c r="J370"/>
      <c r="K370"/>
      <c r="L370"/>
      <c r="M370"/>
      <c r="N370"/>
      <c r="O370"/>
      <c r="P370" s="72"/>
      <c r="Q370" s="72"/>
      <c r="R370" s="72"/>
      <c r="S370" s="72"/>
      <c r="T370" s="72"/>
      <c r="U370" s="72"/>
      <c r="V370" s="72"/>
      <c r="W370" s="72"/>
      <c r="X370" s="72"/>
      <c r="Y370" s="72"/>
      <c r="Z370" s="72"/>
      <c r="AA370" s="72"/>
    </row>
    <row r="371" spans="1:27" x14ac:dyDescent="0.35">
      <c r="A371"/>
      <c r="B371" s="97"/>
      <c r="C371"/>
      <c r="D371"/>
      <c r="E371" s="88"/>
      <c r="F371"/>
      <c r="G371"/>
      <c r="H371"/>
      <c r="I371"/>
      <c r="J371"/>
      <c r="K371"/>
      <c r="L371"/>
      <c r="M371"/>
      <c r="N371"/>
      <c r="O371"/>
      <c r="P371" s="72"/>
      <c r="Q371" s="72"/>
      <c r="R371" s="72"/>
      <c r="S371" s="72"/>
      <c r="T371" s="72"/>
      <c r="U371" s="72"/>
      <c r="V371" s="72"/>
      <c r="W371" s="72"/>
      <c r="X371" s="72"/>
      <c r="Y371" s="72"/>
      <c r="Z371" s="72"/>
      <c r="AA371" s="72"/>
    </row>
    <row r="372" spans="1:27" x14ac:dyDescent="0.35">
      <c r="A372"/>
      <c r="B372" s="97"/>
      <c r="C372"/>
      <c r="D372"/>
      <c r="E372" s="88"/>
      <c r="F372"/>
      <c r="G372"/>
      <c r="H372"/>
      <c r="I372"/>
      <c r="J372"/>
      <c r="K372"/>
      <c r="L372"/>
      <c r="M372"/>
      <c r="N372"/>
      <c r="O372"/>
      <c r="P372" s="72"/>
      <c r="Q372" s="72"/>
      <c r="R372" s="72"/>
      <c r="S372" s="72"/>
      <c r="T372" s="72"/>
      <c r="U372" s="72"/>
      <c r="V372" s="72"/>
      <c r="W372" s="72"/>
      <c r="X372" s="72"/>
      <c r="Y372" s="72"/>
      <c r="Z372" s="72"/>
      <c r="AA372" s="72"/>
    </row>
    <row r="373" spans="1:27" x14ac:dyDescent="0.35">
      <c r="A373"/>
      <c r="B373" s="97"/>
      <c r="C373"/>
      <c r="D373"/>
      <c r="E373" s="88"/>
      <c r="F373"/>
      <c r="G373"/>
      <c r="H373"/>
      <c r="I373"/>
      <c r="J373"/>
      <c r="K373"/>
      <c r="L373"/>
      <c r="M373"/>
      <c r="N373"/>
      <c r="O373"/>
      <c r="P373" s="72"/>
      <c r="Q373" s="72"/>
      <c r="R373" s="72"/>
      <c r="S373" s="72"/>
      <c r="T373" s="72"/>
      <c r="U373" s="72"/>
      <c r="V373" s="72"/>
      <c r="W373" s="72"/>
      <c r="X373" s="72"/>
      <c r="Y373" s="72"/>
      <c r="Z373" s="72"/>
      <c r="AA373" s="72"/>
    </row>
    <row r="374" spans="1:27" x14ac:dyDescent="0.35">
      <c r="A374"/>
      <c r="B374" s="97"/>
      <c r="C374"/>
      <c r="D374"/>
      <c r="E374" s="88"/>
      <c r="F374"/>
      <c r="G374"/>
      <c r="H374"/>
      <c r="I374"/>
      <c r="J374"/>
      <c r="K374"/>
      <c r="L374"/>
      <c r="M374"/>
      <c r="N374"/>
      <c r="O374"/>
      <c r="P374" s="72"/>
      <c r="Q374" s="72"/>
      <c r="R374" s="72"/>
      <c r="S374" s="72"/>
      <c r="T374" s="72"/>
      <c r="U374" s="72"/>
      <c r="V374" s="72"/>
      <c r="W374" s="72"/>
      <c r="X374" s="72"/>
      <c r="Y374" s="72"/>
      <c r="Z374" s="72"/>
      <c r="AA374" s="72"/>
    </row>
    <row r="375" spans="1:27" x14ac:dyDescent="0.35">
      <c r="A375"/>
      <c r="B375" s="97"/>
      <c r="C375"/>
      <c r="D375"/>
      <c r="E375" s="88"/>
      <c r="F375"/>
      <c r="G375"/>
      <c r="H375"/>
      <c r="I375"/>
      <c r="J375"/>
      <c r="K375"/>
      <c r="L375"/>
      <c r="M375"/>
      <c r="N375"/>
      <c r="O375"/>
      <c r="P375" s="72"/>
      <c r="Q375" s="72"/>
      <c r="R375" s="72"/>
      <c r="S375" s="72"/>
      <c r="T375" s="72"/>
      <c r="U375" s="72"/>
      <c r="V375" s="72"/>
      <c r="W375" s="72"/>
      <c r="X375" s="72"/>
      <c r="Y375" s="72"/>
      <c r="Z375" s="72"/>
      <c r="AA375" s="72"/>
    </row>
    <row r="376" spans="1:27" x14ac:dyDescent="0.35">
      <c r="A376"/>
      <c r="B376" s="97"/>
      <c r="C376"/>
      <c r="D376"/>
      <c r="E376" s="88"/>
      <c r="F376"/>
      <c r="G376"/>
      <c r="H376"/>
      <c r="I376"/>
      <c r="J376"/>
      <c r="K376"/>
      <c r="L376"/>
      <c r="M376"/>
      <c r="N376"/>
      <c r="O376"/>
      <c r="P376" s="72"/>
      <c r="Q376" s="72"/>
      <c r="R376" s="72"/>
      <c r="S376" s="72"/>
      <c r="T376" s="72"/>
      <c r="U376" s="72"/>
      <c r="V376" s="72"/>
      <c r="W376" s="72"/>
      <c r="X376" s="72"/>
      <c r="Y376" s="72"/>
      <c r="Z376" s="72"/>
      <c r="AA376" s="72"/>
    </row>
    <row r="377" spans="1:27" x14ac:dyDescent="0.35">
      <c r="A377"/>
      <c r="B377" s="97"/>
      <c r="C377"/>
      <c r="D377"/>
      <c r="E377" s="88"/>
      <c r="F377"/>
      <c r="G377"/>
      <c r="H377"/>
      <c r="I377"/>
      <c r="J377"/>
      <c r="K377"/>
      <c r="L377"/>
      <c r="M377"/>
      <c r="N377"/>
      <c r="O377"/>
      <c r="P377" s="72"/>
      <c r="Q377" s="72"/>
      <c r="R377" s="72"/>
      <c r="S377" s="72"/>
      <c r="T377" s="72"/>
      <c r="U377" s="72"/>
      <c r="V377" s="72"/>
      <c r="W377" s="72"/>
      <c r="X377" s="72"/>
      <c r="Y377" s="72"/>
      <c r="Z377" s="72"/>
      <c r="AA377" s="72"/>
    </row>
    <row r="378" spans="1:27" x14ac:dyDescent="0.35">
      <c r="A378"/>
      <c r="B378" s="97"/>
      <c r="C378"/>
      <c r="D378"/>
      <c r="E378" s="88"/>
      <c r="F378"/>
      <c r="G378"/>
      <c r="H378"/>
      <c r="I378"/>
      <c r="J378"/>
      <c r="K378"/>
      <c r="L378"/>
      <c r="M378"/>
      <c r="N378"/>
      <c r="O378"/>
      <c r="P378" s="72"/>
      <c r="Q378" s="72"/>
      <c r="R378" s="72"/>
      <c r="S378" s="72"/>
      <c r="T378" s="72"/>
      <c r="U378" s="72"/>
      <c r="V378" s="72"/>
      <c r="W378" s="72"/>
      <c r="X378" s="72"/>
      <c r="Y378" s="72"/>
      <c r="Z378" s="72"/>
      <c r="AA378" s="72"/>
    </row>
    <row r="379" spans="1:27" x14ac:dyDescent="0.35">
      <c r="A379"/>
      <c r="B379" s="97"/>
      <c r="C379"/>
      <c r="D379"/>
      <c r="E379" s="88"/>
      <c r="F379"/>
      <c r="G379"/>
      <c r="H379"/>
      <c r="I379"/>
      <c r="J379"/>
      <c r="K379"/>
      <c r="L379"/>
      <c r="M379"/>
      <c r="N379"/>
      <c r="O379"/>
      <c r="P379" s="72"/>
      <c r="Q379" s="72"/>
      <c r="R379" s="72"/>
      <c r="S379" s="72"/>
      <c r="T379" s="72"/>
      <c r="U379" s="72"/>
      <c r="V379" s="72"/>
      <c r="W379" s="72"/>
      <c r="X379" s="72"/>
      <c r="Y379" s="72"/>
      <c r="Z379" s="72"/>
      <c r="AA379" s="72"/>
    </row>
    <row r="380" spans="1:27" x14ac:dyDescent="0.35">
      <c r="A380"/>
      <c r="B380" s="97"/>
      <c r="C380"/>
      <c r="D380"/>
      <c r="E380" s="88"/>
      <c r="F380"/>
      <c r="G380"/>
      <c r="H380"/>
      <c r="I380"/>
      <c r="J380"/>
      <c r="K380"/>
      <c r="L380"/>
      <c r="M380"/>
      <c r="N380"/>
      <c r="O380"/>
      <c r="P380" s="72"/>
      <c r="Q380" s="72"/>
      <c r="R380" s="72"/>
      <c r="S380" s="72"/>
      <c r="T380" s="72"/>
      <c r="U380" s="72"/>
      <c r="V380" s="72"/>
      <c r="W380" s="72"/>
      <c r="X380" s="72"/>
      <c r="Y380" s="72"/>
      <c r="Z380" s="72"/>
      <c r="AA380" s="72"/>
    </row>
    <row r="381" spans="1:27" x14ac:dyDescent="0.35">
      <c r="A381"/>
      <c r="B381" s="97"/>
      <c r="C381"/>
      <c r="D381"/>
      <c r="E381" s="88"/>
      <c r="F381"/>
      <c r="G381"/>
      <c r="H381"/>
      <c r="I381"/>
      <c r="J381"/>
      <c r="K381"/>
      <c r="L381"/>
      <c r="M381"/>
      <c r="N381"/>
      <c r="O381"/>
      <c r="P381" s="72"/>
      <c r="Q381" s="72"/>
      <c r="R381" s="72"/>
      <c r="S381" s="72"/>
      <c r="T381" s="72"/>
      <c r="U381" s="72"/>
      <c r="V381" s="72"/>
      <c r="W381" s="72"/>
      <c r="X381" s="72"/>
      <c r="Y381" s="72"/>
      <c r="Z381" s="72"/>
      <c r="AA381" s="72"/>
    </row>
    <row r="382" spans="1:27" x14ac:dyDescent="0.35">
      <c r="A382"/>
      <c r="B382" s="97"/>
      <c r="C382"/>
      <c r="D382"/>
      <c r="E382" s="88"/>
      <c r="F382"/>
      <c r="G382"/>
      <c r="H382"/>
      <c r="I382"/>
      <c r="J382"/>
      <c r="K382"/>
      <c r="L382"/>
      <c r="M382"/>
      <c r="N382"/>
      <c r="O382"/>
      <c r="P382" s="72"/>
      <c r="Q382" s="72"/>
      <c r="R382" s="72"/>
      <c r="S382" s="72"/>
      <c r="T382" s="72"/>
      <c r="U382" s="72"/>
      <c r="V382" s="72"/>
      <c r="W382" s="72"/>
      <c r="X382" s="72"/>
      <c r="Y382" s="72"/>
      <c r="Z382" s="72"/>
      <c r="AA382" s="72"/>
    </row>
    <row r="383" spans="1:27" x14ac:dyDescent="0.35">
      <c r="A383"/>
      <c r="B383" s="97"/>
      <c r="C383"/>
      <c r="D383"/>
      <c r="E383" s="88"/>
      <c r="F383"/>
      <c r="G383"/>
      <c r="H383"/>
      <c r="I383"/>
      <c r="J383"/>
      <c r="K383"/>
      <c r="L383"/>
      <c r="M383"/>
      <c r="N383"/>
      <c r="O383"/>
      <c r="P383" s="72"/>
      <c r="Q383" s="72"/>
      <c r="R383" s="72"/>
      <c r="S383" s="72"/>
      <c r="T383" s="72"/>
      <c r="U383" s="72"/>
      <c r="V383" s="72"/>
      <c r="W383" s="72"/>
      <c r="X383" s="72"/>
      <c r="Y383" s="72"/>
      <c r="Z383" s="72"/>
      <c r="AA383" s="72"/>
    </row>
    <row r="384" spans="1:27" x14ac:dyDescent="0.35">
      <c r="A384"/>
      <c r="B384" s="97"/>
      <c r="C384"/>
      <c r="D384"/>
      <c r="E384" s="88"/>
      <c r="F384"/>
      <c r="G384"/>
      <c r="H384"/>
      <c r="I384"/>
      <c r="J384"/>
      <c r="K384"/>
      <c r="L384"/>
      <c r="M384"/>
      <c r="N384"/>
      <c r="O384"/>
      <c r="P384" s="72"/>
      <c r="Q384" s="72"/>
      <c r="R384" s="72"/>
      <c r="S384" s="72"/>
      <c r="T384" s="72"/>
      <c r="U384" s="72"/>
      <c r="V384" s="72"/>
      <c r="W384" s="72"/>
      <c r="X384" s="72"/>
      <c r="Y384" s="72"/>
      <c r="Z384" s="72"/>
      <c r="AA384" s="72"/>
    </row>
    <row r="385" spans="1:27" x14ac:dyDescent="0.35">
      <c r="A385"/>
      <c r="B385" s="97"/>
      <c r="C385"/>
      <c r="D385"/>
      <c r="E385" s="88"/>
      <c r="F385"/>
      <c r="G385"/>
      <c r="H385"/>
      <c r="I385"/>
      <c r="J385"/>
      <c r="K385"/>
      <c r="L385"/>
      <c r="M385"/>
      <c r="N385"/>
      <c r="O385"/>
      <c r="P385" s="72"/>
      <c r="Q385" s="72"/>
      <c r="R385" s="72"/>
      <c r="S385" s="72"/>
      <c r="T385" s="72"/>
      <c r="U385" s="72"/>
      <c r="V385" s="72"/>
      <c r="W385" s="72"/>
      <c r="X385" s="72"/>
      <c r="Y385" s="72"/>
      <c r="Z385" s="72"/>
      <c r="AA385" s="72"/>
    </row>
    <row r="386" spans="1:27" x14ac:dyDescent="0.35">
      <c r="A386"/>
      <c r="B386" s="97"/>
      <c r="C386"/>
      <c r="D386"/>
      <c r="E386" s="88"/>
      <c r="F386"/>
      <c r="G386"/>
      <c r="H386"/>
      <c r="I386"/>
      <c r="J386"/>
      <c r="K386"/>
      <c r="L386"/>
      <c r="M386"/>
      <c r="N386"/>
      <c r="O386"/>
      <c r="P386" s="72"/>
      <c r="Q386" s="72"/>
      <c r="R386" s="72"/>
      <c r="S386" s="72"/>
      <c r="T386" s="72"/>
      <c r="U386" s="72"/>
      <c r="V386" s="72"/>
      <c r="W386" s="72"/>
      <c r="X386" s="72"/>
      <c r="Y386" s="72"/>
      <c r="Z386" s="72"/>
      <c r="AA386" s="72"/>
    </row>
    <row r="387" spans="1:27" x14ac:dyDescent="0.35">
      <c r="A387"/>
      <c r="B387" s="97"/>
      <c r="C387"/>
      <c r="D387"/>
      <c r="E387" s="88"/>
      <c r="F387"/>
      <c r="G387"/>
      <c r="H387"/>
      <c r="I387"/>
      <c r="J387"/>
      <c r="K387"/>
      <c r="L387"/>
      <c r="M387"/>
      <c r="N387"/>
      <c r="O387"/>
      <c r="P387" s="72"/>
      <c r="Q387" s="72"/>
      <c r="R387" s="72"/>
      <c r="S387" s="72"/>
      <c r="T387" s="72"/>
      <c r="U387" s="72"/>
      <c r="V387" s="72"/>
      <c r="W387" s="72"/>
      <c r="X387" s="72"/>
      <c r="Y387" s="72"/>
      <c r="Z387" s="72"/>
      <c r="AA387" s="72"/>
    </row>
    <row r="388" spans="1:27" x14ac:dyDescent="0.35">
      <c r="A388"/>
      <c r="B388" s="97"/>
      <c r="C388"/>
      <c r="D388"/>
      <c r="E388" s="88"/>
      <c r="F388"/>
      <c r="G388"/>
      <c r="H388"/>
      <c r="I388"/>
      <c r="J388"/>
      <c r="K388"/>
      <c r="L388"/>
      <c r="M388"/>
      <c r="N388"/>
      <c r="O388"/>
      <c r="P388" s="72"/>
      <c r="Q388" s="72"/>
      <c r="R388" s="72"/>
      <c r="S388" s="72"/>
      <c r="T388" s="72"/>
      <c r="U388" s="72"/>
      <c r="V388" s="72"/>
      <c r="W388" s="72"/>
      <c r="X388" s="72"/>
      <c r="Y388" s="72"/>
      <c r="Z388" s="72"/>
      <c r="AA388" s="72"/>
    </row>
    <row r="389" spans="1:27" x14ac:dyDescent="0.35">
      <c r="A389"/>
      <c r="B389" s="97"/>
      <c r="C389"/>
      <c r="D389"/>
      <c r="E389" s="88"/>
      <c r="F389"/>
      <c r="G389"/>
      <c r="H389"/>
      <c r="I389"/>
      <c r="J389"/>
      <c r="K389"/>
      <c r="L389"/>
      <c r="M389"/>
      <c r="N389"/>
      <c r="O389"/>
      <c r="P389" s="72"/>
      <c r="Q389" s="72"/>
      <c r="R389" s="72"/>
      <c r="S389" s="72"/>
      <c r="T389" s="72"/>
      <c r="U389" s="72"/>
      <c r="V389" s="72"/>
      <c r="W389" s="72"/>
      <c r="X389" s="72"/>
      <c r="Y389" s="72"/>
      <c r="Z389" s="72"/>
      <c r="AA389" s="72"/>
    </row>
    <row r="390" spans="1:27" x14ac:dyDescent="0.35">
      <c r="A390"/>
      <c r="B390" s="97"/>
      <c r="C390"/>
      <c r="D390"/>
      <c r="E390" s="88"/>
      <c r="F390"/>
      <c r="G390"/>
      <c r="H390"/>
      <c r="I390"/>
      <c r="J390"/>
      <c r="K390"/>
      <c r="L390"/>
      <c r="M390"/>
      <c r="N390"/>
      <c r="O390"/>
      <c r="P390" s="72"/>
      <c r="Q390" s="72"/>
      <c r="R390" s="72"/>
      <c r="S390" s="72"/>
      <c r="T390" s="72"/>
      <c r="U390" s="72"/>
      <c r="V390" s="72"/>
      <c r="W390" s="72"/>
      <c r="X390" s="72"/>
      <c r="Y390" s="72"/>
      <c r="Z390" s="72"/>
      <c r="AA390" s="72"/>
    </row>
    <row r="391" spans="1:27" x14ac:dyDescent="0.35">
      <c r="A391"/>
      <c r="B391" s="97"/>
      <c r="C391"/>
      <c r="D391"/>
      <c r="E391" s="88"/>
      <c r="F391"/>
      <c r="G391"/>
      <c r="H391"/>
      <c r="I391"/>
      <c r="J391"/>
      <c r="K391"/>
      <c r="L391"/>
      <c r="M391"/>
      <c r="N391"/>
      <c r="O391"/>
      <c r="P391" s="72"/>
      <c r="Q391" s="72"/>
      <c r="R391" s="72"/>
      <c r="S391" s="72"/>
      <c r="T391" s="72"/>
      <c r="U391" s="72"/>
      <c r="V391" s="72"/>
      <c r="W391" s="72"/>
      <c r="X391" s="72"/>
      <c r="Y391" s="72"/>
      <c r="Z391" s="72"/>
      <c r="AA391" s="72"/>
    </row>
    <row r="392" spans="1:27" x14ac:dyDescent="0.35">
      <c r="A392"/>
      <c r="B392" s="97"/>
      <c r="C392"/>
      <c r="D392"/>
      <c r="E392" s="88"/>
      <c r="F392"/>
      <c r="G392"/>
      <c r="H392"/>
      <c r="I392"/>
      <c r="J392"/>
      <c r="K392"/>
      <c r="L392"/>
      <c r="M392"/>
      <c r="N392"/>
      <c r="O392"/>
      <c r="P392" s="72"/>
      <c r="Q392" s="72"/>
      <c r="R392" s="72"/>
      <c r="S392" s="72"/>
      <c r="T392" s="72"/>
      <c r="U392" s="72"/>
      <c r="V392" s="72"/>
      <c r="W392" s="72"/>
      <c r="X392" s="72"/>
      <c r="Y392" s="72"/>
      <c r="Z392" s="72"/>
      <c r="AA392" s="72"/>
    </row>
    <row r="393" spans="1:27" x14ac:dyDescent="0.35">
      <c r="A393"/>
      <c r="B393" s="97"/>
      <c r="C393"/>
      <c r="D393"/>
      <c r="E393" s="88"/>
      <c r="F393"/>
      <c r="G393"/>
      <c r="H393"/>
      <c r="I393"/>
      <c r="J393"/>
      <c r="K393"/>
      <c r="L393"/>
      <c r="M393"/>
      <c r="N393"/>
      <c r="O393"/>
      <c r="P393" s="72"/>
      <c r="Q393" s="72"/>
      <c r="R393" s="72"/>
      <c r="S393" s="72"/>
      <c r="T393" s="72"/>
      <c r="U393" s="72"/>
      <c r="V393" s="72"/>
      <c r="W393" s="72"/>
      <c r="X393" s="72"/>
      <c r="Y393" s="72"/>
      <c r="Z393" s="72"/>
      <c r="AA393" s="72"/>
    </row>
    <row r="394" spans="1:27" x14ac:dyDescent="0.35">
      <c r="A394"/>
      <c r="B394" s="97"/>
      <c r="C394"/>
      <c r="D394"/>
      <c r="E394" s="88"/>
      <c r="F394"/>
      <c r="G394"/>
      <c r="H394"/>
      <c r="I394"/>
      <c r="J394"/>
      <c r="K394"/>
      <c r="L394"/>
      <c r="M394"/>
      <c r="N394"/>
      <c r="O394"/>
      <c r="P394" s="72"/>
      <c r="Q394" s="72"/>
      <c r="R394" s="72"/>
      <c r="S394" s="72"/>
      <c r="T394" s="72"/>
      <c r="U394" s="72"/>
      <c r="V394" s="72"/>
      <c r="W394" s="72"/>
      <c r="X394" s="72"/>
      <c r="Y394" s="72"/>
      <c r="Z394" s="72"/>
      <c r="AA394" s="72"/>
    </row>
    <row r="395" spans="1:27" x14ac:dyDescent="0.35">
      <c r="A395"/>
      <c r="B395" s="97"/>
      <c r="C395"/>
      <c r="D395"/>
      <c r="E395" s="88"/>
      <c r="F395"/>
      <c r="G395"/>
      <c r="H395"/>
      <c r="I395"/>
      <c r="J395"/>
      <c r="K395"/>
      <c r="L395"/>
      <c r="M395"/>
      <c r="N395"/>
      <c r="O395"/>
      <c r="P395" s="72"/>
      <c r="Q395" s="72"/>
      <c r="R395" s="72"/>
      <c r="S395" s="72"/>
      <c r="T395" s="72"/>
      <c r="U395" s="72"/>
      <c r="V395" s="72"/>
      <c r="W395" s="72"/>
      <c r="X395" s="72"/>
      <c r="Y395" s="72"/>
      <c r="Z395" s="72"/>
      <c r="AA395" s="72"/>
    </row>
    <row r="396" spans="1:27" x14ac:dyDescent="0.35">
      <c r="A396"/>
      <c r="B396" s="97"/>
      <c r="C396"/>
      <c r="D396"/>
      <c r="E396" s="88"/>
      <c r="F396"/>
      <c r="G396"/>
      <c r="H396"/>
      <c r="I396"/>
      <c r="J396"/>
      <c r="K396"/>
      <c r="L396"/>
      <c r="M396"/>
      <c r="N396"/>
      <c r="O396"/>
      <c r="P396" s="72"/>
      <c r="Q396" s="72"/>
      <c r="R396" s="72"/>
      <c r="S396" s="72"/>
      <c r="T396" s="72"/>
      <c r="U396" s="72"/>
      <c r="V396" s="72"/>
      <c r="W396" s="72"/>
      <c r="X396" s="72"/>
      <c r="Y396" s="72"/>
      <c r="Z396" s="72"/>
      <c r="AA396" s="72"/>
    </row>
    <row r="397" spans="1:27" x14ac:dyDescent="0.35">
      <c r="A397"/>
      <c r="B397" s="97"/>
      <c r="C397"/>
      <c r="D397"/>
      <c r="E397" s="88"/>
      <c r="F397"/>
      <c r="G397"/>
      <c r="H397"/>
      <c r="I397"/>
      <c r="J397"/>
      <c r="K397"/>
      <c r="L397"/>
      <c r="M397"/>
      <c r="N397"/>
      <c r="O397"/>
      <c r="P397" s="72"/>
      <c r="Q397" s="72"/>
      <c r="R397" s="72"/>
      <c r="S397" s="72"/>
      <c r="T397" s="72"/>
      <c r="U397" s="72"/>
      <c r="V397" s="72"/>
      <c r="W397" s="72"/>
      <c r="X397" s="72"/>
      <c r="Y397" s="72"/>
      <c r="Z397" s="72"/>
      <c r="AA397" s="72"/>
    </row>
    <row r="398" spans="1:27" x14ac:dyDescent="0.35">
      <c r="A398"/>
      <c r="B398" s="97"/>
      <c r="C398"/>
      <c r="D398"/>
      <c r="E398" s="88"/>
      <c r="F398"/>
      <c r="G398"/>
      <c r="H398"/>
      <c r="I398"/>
      <c r="J398"/>
      <c r="K398"/>
      <c r="L398"/>
      <c r="M398"/>
      <c r="N398"/>
      <c r="O398"/>
      <c r="P398" s="72"/>
      <c r="Q398" s="72"/>
      <c r="R398" s="72"/>
      <c r="S398" s="72"/>
      <c r="T398" s="72"/>
      <c r="U398" s="72"/>
      <c r="V398" s="72"/>
      <c r="W398" s="72"/>
      <c r="X398" s="72"/>
      <c r="Y398" s="72"/>
      <c r="Z398" s="72"/>
      <c r="AA398" s="72"/>
    </row>
    <row r="399" spans="1:27" x14ac:dyDescent="0.35">
      <c r="A399"/>
      <c r="B399" s="97"/>
      <c r="C399"/>
      <c r="D399"/>
      <c r="E399" s="88"/>
      <c r="F399"/>
      <c r="G399"/>
      <c r="H399"/>
      <c r="I399"/>
      <c r="J399"/>
      <c r="K399"/>
      <c r="L399"/>
      <c r="M399"/>
      <c r="N399"/>
      <c r="O399"/>
      <c r="P399" s="72"/>
      <c r="Q399" s="72"/>
      <c r="R399" s="72"/>
      <c r="S399" s="72"/>
      <c r="T399" s="72"/>
      <c r="U399" s="72"/>
      <c r="V399" s="72"/>
      <c r="W399" s="72"/>
      <c r="X399" s="72"/>
      <c r="Y399" s="72"/>
      <c r="Z399" s="72"/>
      <c r="AA399" s="72"/>
    </row>
    <row r="400" spans="1:27" x14ac:dyDescent="0.35">
      <c r="A400"/>
      <c r="B400" s="97"/>
      <c r="C400"/>
      <c r="D400"/>
      <c r="E400" s="88"/>
      <c r="F400"/>
      <c r="G400"/>
      <c r="H400"/>
      <c r="I400"/>
      <c r="J400"/>
      <c r="K400"/>
      <c r="L400"/>
      <c r="M400"/>
      <c r="N400"/>
      <c r="O400"/>
      <c r="P400" s="72"/>
      <c r="Q400" s="72"/>
      <c r="R400" s="72"/>
      <c r="S400" s="72"/>
      <c r="T400" s="72"/>
      <c r="U400" s="72"/>
      <c r="V400" s="72"/>
      <c r="W400" s="72"/>
      <c r="X400" s="72"/>
      <c r="Y400" s="72"/>
      <c r="Z400" s="72"/>
      <c r="AA400" s="72"/>
    </row>
    <row r="401" spans="1:27" x14ac:dyDescent="0.35">
      <c r="A401"/>
      <c r="B401" s="97"/>
      <c r="C401"/>
      <c r="D401"/>
      <c r="E401" s="88"/>
      <c r="F401"/>
      <c r="G401"/>
      <c r="H401"/>
      <c r="I401"/>
      <c r="J401"/>
      <c r="K401"/>
      <c r="L401"/>
      <c r="M401"/>
      <c r="N401"/>
      <c r="O401"/>
      <c r="P401" s="72"/>
      <c r="Q401" s="72"/>
      <c r="R401" s="72"/>
      <c r="S401" s="72"/>
      <c r="T401" s="72"/>
      <c r="U401" s="72"/>
      <c r="V401" s="72"/>
      <c r="W401" s="72"/>
      <c r="X401" s="72"/>
      <c r="Y401" s="72"/>
      <c r="Z401" s="72"/>
      <c r="AA401" s="72"/>
    </row>
    <row r="402" spans="1:27" x14ac:dyDescent="0.35">
      <c r="A402"/>
      <c r="B402" s="97"/>
      <c r="C402"/>
      <c r="D402"/>
      <c r="E402" s="88"/>
      <c r="F402"/>
      <c r="G402"/>
      <c r="H402"/>
      <c r="I402"/>
      <c r="J402"/>
      <c r="K402"/>
      <c r="L402"/>
      <c r="M402"/>
      <c r="N402"/>
      <c r="O402"/>
      <c r="P402" s="72"/>
      <c r="Q402" s="72"/>
      <c r="R402" s="72"/>
      <c r="S402" s="72"/>
      <c r="T402" s="72"/>
      <c r="U402" s="72"/>
      <c r="V402" s="72"/>
      <c r="W402" s="72"/>
      <c r="X402" s="72"/>
      <c r="Y402" s="72"/>
      <c r="Z402" s="72"/>
      <c r="AA402" s="72"/>
    </row>
    <row r="403" spans="1:27" x14ac:dyDescent="0.35">
      <c r="A403"/>
      <c r="B403" s="97"/>
      <c r="C403"/>
      <c r="D403"/>
      <c r="E403" s="88"/>
      <c r="F403"/>
      <c r="G403"/>
      <c r="H403"/>
      <c r="I403"/>
      <c r="J403"/>
      <c r="K403"/>
      <c r="L403"/>
      <c r="M403"/>
      <c r="N403"/>
      <c r="O403"/>
      <c r="P403" s="72"/>
      <c r="Q403" s="72"/>
      <c r="R403" s="72"/>
      <c r="S403" s="72"/>
      <c r="T403" s="72"/>
      <c r="U403" s="72"/>
      <c r="V403" s="72"/>
      <c r="W403" s="72"/>
      <c r="X403" s="72"/>
      <c r="Y403" s="72"/>
      <c r="Z403" s="72"/>
      <c r="AA403" s="72"/>
    </row>
    <row r="404" spans="1:27" x14ac:dyDescent="0.35">
      <c r="A404"/>
      <c r="B404" s="97"/>
      <c r="C404"/>
      <c r="D404"/>
      <c r="E404" s="88"/>
      <c r="F404"/>
      <c r="G404"/>
      <c r="H404"/>
      <c r="I404"/>
      <c r="J404"/>
      <c r="K404"/>
      <c r="L404"/>
      <c r="M404"/>
      <c r="N404"/>
      <c r="O404"/>
      <c r="P404" s="72"/>
      <c r="Q404" s="72"/>
      <c r="R404" s="72"/>
      <c r="S404" s="72"/>
      <c r="T404" s="72"/>
      <c r="U404" s="72"/>
      <c r="V404" s="72"/>
      <c r="W404" s="72"/>
      <c r="X404" s="72"/>
      <c r="Y404" s="72"/>
      <c r="Z404" s="72"/>
      <c r="AA404" s="72"/>
    </row>
    <row r="405" spans="1:27" x14ac:dyDescent="0.35">
      <c r="A405"/>
      <c r="B405" s="97"/>
      <c r="C405"/>
      <c r="D405"/>
      <c r="E405" s="88"/>
      <c r="F405"/>
      <c r="G405"/>
      <c r="H405"/>
      <c r="I405"/>
      <c r="J405"/>
      <c r="K405"/>
      <c r="L405"/>
      <c r="M405"/>
      <c r="N405"/>
      <c r="O405"/>
      <c r="P405" s="72"/>
      <c r="Q405" s="72"/>
      <c r="R405" s="72"/>
      <c r="S405" s="72"/>
      <c r="T405" s="72"/>
      <c r="U405" s="72"/>
      <c r="V405" s="72"/>
      <c r="W405" s="72"/>
      <c r="X405" s="72"/>
      <c r="Y405" s="72"/>
      <c r="Z405" s="72"/>
      <c r="AA405" s="72"/>
    </row>
    <row r="406" spans="1:27" x14ac:dyDescent="0.35">
      <c r="A406"/>
      <c r="B406" s="97"/>
      <c r="C406"/>
      <c r="D406"/>
      <c r="E406" s="88"/>
      <c r="F406"/>
      <c r="G406"/>
      <c r="H406"/>
      <c r="I406"/>
      <c r="J406"/>
      <c r="K406"/>
      <c r="L406"/>
      <c r="M406"/>
      <c r="N406"/>
      <c r="O406"/>
      <c r="P406" s="72"/>
      <c r="Q406" s="72"/>
      <c r="R406" s="72"/>
      <c r="S406" s="72"/>
      <c r="T406" s="72"/>
      <c r="U406" s="72"/>
      <c r="V406" s="72"/>
      <c r="W406" s="72"/>
      <c r="X406" s="72"/>
      <c r="Y406" s="72"/>
      <c r="Z406" s="72"/>
      <c r="AA406" s="72"/>
    </row>
    <row r="407" spans="1:27" x14ac:dyDescent="0.35">
      <c r="A407"/>
      <c r="B407" s="97"/>
      <c r="C407"/>
      <c r="D407"/>
      <c r="E407" s="88"/>
      <c r="F407"/>
      <c r="G407"/>
      <c r="H407"/>
      <c r="I407"/>
      <c r="J407"/>
      <c r="K407"/>
      <c r="L407"/>
      <c r="M407"/>
      <c r="N407"/>
      <c r="O407"/>
      <c r="P407" s="72"/>
      <c r="Q407" s="72"/>
      <c r="R407" s="72"/>
      <c r="S407" s="72"/>
      <c r="T407" s="72"/>
      <c r="U407" s="72"/>
      <c r="V407" s="72"/>
      <c r="W407" s="72"/>
      <c r="X407" s="72"/>
      <c r="Y407" s="72"/>
      <c r="Z407" s="72"/>
      <c r="AA407" s="72"/>
    </row>
    <row r="408" spans="1:27" x14ac:dyDescent="0.35">
      <c r="A408"/>
      <c r="B408" s="97"/>
      <c r="C408"/>
      <c r="D408"/>
      <c r="E408" s="88"/>
      <c r="F408"/>
      <c r="G408"/>
      <c r="H408"/>
      <c r="I408"/>
      <c r="J408"/>
      <c r="K408"/>
      <c r="L408"/>
      <c r="M408"/>
      <c r="N408"/>
      <c r="O408"/>
      <c r="P408" s="72"/>
      <c r="Q408" s="72"/>
      <c r="R408" s="72"/>
      <c r="S408" s="72"/>
      <c r="T408" s="72"/>
      <c r="U408" s="72"/>
      <c r="V408" s="72"/>
      <c r="W408" s="72"/>
      <c r="X408" s="72"/>
      <c r="Y408" s="72"/>
      <c r="Z408" s="72"/>
      <c r="AA408" s="72"/>
    </row>
    <row r="409" spans="1:27" x14ac:dyDescent="0.35">
      <c r="A409"/>
      <c r="B409" s="97"/>
      <c r="C409"/>
      <c r="D409"/>
      <c r="E409" s="88"/>
      <c r="F409"/>
      <c r="G409"/>
      <c r="H409"/>
      <c r="I409"/>
      <c r="J409"/>
      <c r="K409"/>
      <c r="L409"/>
      <c r="M409"/>
      <c r="N409"/>
      <c r="O409"/>
      <c r="P409" s="72"/>
      <c r="Q409" s="72"/>
      <c r="R409" s="72"/>
      <c r="S409" s="72"/>
      <c r="T409" s="72"/>
      <c r="U409" s="72"/>
      <c r="V409" s="72"/>
      <c r="W409" s="72"/>
      <c r="X409" s="72"/>
      <c r="Y409" s="72"/>
      <c r="Z409" s="72"/>
      <c r="AA409" s="72"/>
    </row>
    <row r="410" spans="1:27" x14ac:dyDescent="0.35">
      <c r="A410"/>
      <c r="B410" s="97"/>
      <c r="C410"/>
      <c r="D410"/>
      <c r="E410" s="88"/>
      <c r="F410"/>
      <c r="G410"/>
      <c r="H410"/>
      <c r="I410"/>
      <c r="J410"/>
      <c r="K410"/>
      <c r="L410"/>
      <c r="M410"/>
      <c r="N410"/>
      <c r="O410"/>
      <c r="P410" s="72"/>
      <c r="Q410" s="72"/>
      <c r="R410" s="72"/>
      <c r="S410" s="72"/>
      <c r="T410" s="72"/>
      <c r="U410" s="72"/>
      <c r="V410" s="72"/>
      <c r="W410" s="72"/>
      <c r="X410" s="72"/>
      <c r="Y410" s="72"/>
      <c r="Z410" s="72"/>
      <c r="AA410" s="72"/>
    </row>
    <row r="411" spans="1:27" x14ac:dyDescent="0.35">
      <c r="A411"/>
      <c r="B411" s="97"/>
      <c r="C411"/>
      <c r="D411"/>
      <c r="E411" s="88"/>
      <c r="F411"/>
      <c r="G411"/>
      <c r="H411"/>
      <c r="I411"/>
      <c r="J411"/>
      <c r="K411"/>
      <c r="L411"/>
      <c r="M411"/>
      <c r="N411"/>
      <c r="O411"/>
      <c r="P411" s="72"/>
      <c r="Q411" s="72"/>
      <c r="R411" s="72"/>
      <c r="S411" s="72"/>
      <c r="T411" s="72"/>
      <c r="U411" s="72"/>
      <c r="V411" s="72"/>
      <c r="W411" s="72"/>
      <c r="X411" s="72"/>
      <c r="Y411" s="72"/>
      <c r="Z411" s="72"/>
      <c r="AA411" s="72"/>
    </row>
    <row r="412" spans="1:27" x14ac:dyDescent="0.35">
      <c r="A412"/>
      <c r="B412" s="97"/>
      <c r="C412"/>
      <c r="D412"/>
      <c r="E412" s="88"/>
      <c r="F412"/>
      <c r="G412"/>
      <c r="H412"/>
      <c r="I412"/>
      <c r="J412"/>
      <c r="K412"/>
      <c r="L412"/>
      <c r="M412"/>
      <c r="N412"/>
      <c r="O412"/>
      <c r="P412" s="72"/>
      <c r="Q412" s="72"/>
      <c r="R412" s="72"/>
      <c r="S412" s="72"/>
      <c r="T412" s="72"/>
      <c r="U412" s="72"/>
      <c r="V412" s="72"/>
      <c r="W412" s="72"/>
      <c r="X412" s="72"/>
      <c r="Y412" s="72"/>
      <c r="Z412" s="72"/>
      <c r="AA412" s="72"/>
    </row>
    <row r="413" spans="1:27" x14ac:dyDescent="0.35">
      <c r="A413"/>
      <c r="B413" s="97"/>
      <c r="C413"/>
      <c r="D413"/>
      <c r="E413" s="88"/>
      <c r="F413"/>
      <c r="G413"/>
      <c r="H413"/>
      <c r="I413"/>
      <c r="J413"/>
      <c r="K413"/>
      <c r="L413"/>
      <c r="M413"/>
      <c r="N413"/>
      <c r="O413"/>
      <c r="P413" s="72"/>
      <c r="Q413" s="72"/>
      <c r="R413" s="72"/>
      <c r="S413" s="72"/>
      <c r="T413" s="72"/>
      <c r="U413" s="72"/>
      <c r="V413" s="72"/>
      <c r="W413" s="72"/>
      <c r="X413" s="72"/>
      <c r="Y413" s="72"/>
      <c r="Z413" s="72"/>
      <c r="AA413" s="72"/>
    </row>
    <row r="414" spans="1:27" x14ac:dyDescent="0.35">
      <c r="A414"/>
      <c r="B414" s="97"/>
      <c r="C414"/>
      <c r="D414"/>
      <c r="E414" s="88"/>
      <c r="F414"/>
      <c r="G414"/>
      <c r="H414"/>
      <c r="I414"/>
      <c r="J414"/>
      <c r="K414"/>
      <c r="L414"/>
      <c r="M414"/>
      <c r="N414"/>
      <c r="O414"/>
      <c r="P414" s="72"/>
      <c r="Q414" s="72"/>
      <c r="R414" s="72"/>
      <c r="S414" s="72"/>
      <c r="T414" s="72"/>
      <c r="U414" s="72"/>
      <c r="V414" s="72"/>
      <c r="W414" s="72"/>
      <c r="X414" s="72"/>
      <c r="Y414" s="72"/>
      <c r="Z414" s="72"/>
      <c r="AA414" s="72"/>
    </row>
    <row r="415" spans="1:27" x14ac:dyDescent="0.35">
      <c r="A415"/>
      <c r="B415" s="97"/>
      <c r="C415"/>
      <c r="D415"/>
      <c r="E415" s="88"/>
      <c r="F415"/>
      <c r="G415"/>
      <c r="H415"/>
      <c r="I415"/>
      <c r="J415"/>
      <c r="K415"/>
      <c r="L415"/>
      <c r="M415"/>
      <c r="N415"/>
      <c r="O415"/>
      <c r="P415" s="72"/>
      <c r="Q415" s="72"/>
      <c r="R415" s="72"/>
      <c r="S415" s="72"/>
      <c r="T415" s="72"/>
      <c r="U415" s="72"/>
      <c r="V415" s="72"/>
      <c r="W415" s="72"/>
      <c r="X415" s="72"/>
      <c r="Y415" s="72"/>
      <c r="Z415" s="72"/>
      <c r="AA415" s="72"/>
    </row>
    <row r="416" spans="1:27" x14ac:dyDescent="0.35">
      <c r="A416"/>
      <c r="B416" s="97"/>
      <c r="C416"/>
      <c r="D416"/>
      <c r="E416" s="88"/>
      <c r="F416"/>
      <c r="G416"/>
      <c r="H416"/>
      <c r="I416"/>
      <c r="J416"/>
      <c r="K416"/>
      <c r="L416"/>
      <c r="M416"/>
      <c r="N416"/>
      <c r="O416"/>
      <c r="P416" s="72"/>
      <c r="Q416" s="72"/>
      <c r="R416" s="72"/>
      <c r="S416" s="72"/>
      <c r="T416" s="72"/>
      <c r="U416" s="72"/>
      <c r="V416" s="72"/>
      <c r="W416" s="72"/>
      <c r="X416" s="72"/>
      <c r="Y416" s="72"/>
      <c r="Z416" s="72"/>
      <c r="AA416" s="72"/>
    </row>
    <row r="417" spans="1:27" x14ac:dyDescent="0.35">
      <c r="A417"/>
      <c r="B417" s="97"/>
      <c r="C417"/>
      <c r="D417"/>
      <c r="E417" s="88"/>
      <c r="F417"/>
      <c r="G417"/>
      <c r="H417"/>
      <c r="I417"/>
      <c r="J417"/>
      <c r="K417"/>
      <c r="L417"/>
      <c r="M417"/>
      <c r="N417"/>
      <c r="O417"/>
      <c r="P417" s="72"/>
      <c r="Q417" s="72"/>
      <c r="R417" s="72"/>
      <c r="S417" s="72"/>
      <c r="T417" s="72"/>
      <c r="U417" s="72"/>
      <c r="V417" s="72"/>
      <c r="W417" s="72"/>
      <c r="X417" s="72"/>
      <c r="Y417" s="72"/>
      <c r="Z417" s="72"/>
      <c r="AA417" s="72"/>
    </row>
    <row r="418" spans="1:27" x14ac:dyDescent="0.35">
      <c r="A418"/>
      <c r="B418" s="97"/>
      <c r="C418"/>
      <c r="D418"/>
      <c r="E418" s="88"/>
      <c r="F418"/>
      <c r="G418"/>
      <c r="H418"/>
      <c r="I418"/>
      <c r="J418"/>
      <c r="K418"/>
      <c r="L418"/>
      <c r="M418"/>
      <c r="N418"/>
      <c r="O418"/>
      <c r="P418" s="72"/>
      <c r="Q418" s="72"/>
      <c r="R418" s="72"/>
      <c r="S418" s="72"/>
      <c r="T418" s="72"/>
      <c r="U418" s="72"/>
      <c r="V418" s="72"/>
      <c r="W418" s="72"/>
      <c r="X418" s="72"/>
      <c r="Y418" s="72"/>
      <c r="Z418" s="72"/>
      <c r="AA418" s="72"/>
    </row>
    <row r="419" spans="1:27" x14ac:dyDescent="0.35">
      <c r="A419"/>
      <c r="B419" s="97"/>
      <c r="C419"/>
      <c r="D419"/>
      <c r="E419" s="88"/>
      <c r="F419"/>
      <c r="G419"/>
      <c r="H419"/>
      <c r="I419"/>
      <c r="J419"/>
      <c r="K419"/>
      <c r="L419"/>
      <c r="M419"/>
      <c r="N419"/>
      <c r="O419"/>
      <c r="P419" s="72"/>
      <c r="Q419" s="72"/>
      <c r="R419" s="72"/>
      <c r="S419" s="72"/>
      <c r="T419" s="72"/>
      <c r="U419" s="72"/>
      <c r="V419" s="72"/>
      <c r="W419" s="72"/>
      <c r="X419" s="72"/>
      <c r="Y419" s="72"/>
      <c r="Z419" s="72"/>
      <c r="AA419" s="72"/>
    </row>
    <row r="420" spans="1:27" x14ac:dyDescent="0.35">
      <c r="A420"/>
      <c r="B420" s="97"/>
      <c r="C420"/>
      <c r="D420"/>
      <c r="E420" s="88"/>
      <c r="F420"/>
      <c r="G420"/>
      <c r="H420"/>
      <c r="I420"/>
      <c r="J420"/>
      <c r="K420"/>
      <c r="L420"/>
      <c r="M420"/>
      <c r="N420"/>
      <c r="O420"/>
      <c r="P420" s="72"/>
      <c r="Q420" s="72"/>
      <c r="R420" s="72"/>
      <c r="S420" s="72"/>
      <c r="T420" s="72"/>
      <c r="U420" s="72"/>
      <c r="V420" s="72"/>
      <c r="W420" s="72"/>
      <c r="X420" s="72"/>
      <c r="Y420" s="72"/>
      <c r="Z420" s="72"/>
      <c r="AA420" s="72"/>
    </row>
    <row r="421" spans="1:27" x14ac:dyDescent="0.35">
      <c r="A421"/>
      <c r="B421" s="97"/>
      <c r="C421"/>
      <c r="D421"/>
      <c r="E421" s="88"/>
      <c r="F421"/>
      <c r="G421"/>
      <c r="H421"/>
      <c r="I421"/>
      <c r="J421"/>
      <c r="K421"/>
      <c r="L421"/>
      <c r="M421"/>
      <c r="N421"/>
      <c r="O421"/>
      <c r="P421" s="72"/>
      <c r="Q421" s="72"/>
      <c r="R421" s="72"/>
      <c r="S421" s="72"/>
      <c r="T421" s="72"/>
      <c r="U421" s="72"/>
      <c r="V421" s="72"/>
      <c r="W421" s="72"/>
      <c r="X421" s="72"/>
      <c r="Y421" s="72"/>
      <c r="Z421" s="72"/>
      <c r="AA421" s="72"/>
    </row>
    <row r="422" spans="1:27" x14ac:dyDescent="0.35">
      <c r="A422"/>
      <c r="B422" s="97"/>
      <c r="C422"/>
      <c r="D422"/>
      <c r="E422" s="88"/>
      <c r="F422"/>
      <c r="G422"/>
      <c r="H422"/>
      <c r="I422"/>
      <c r="J422"/>
      <c r="K422"/>
      <c r="L422"/>
      <c r="M422"/>
      <c r="N422"/>
      <c r="O422"/>
      <c r="P422" s="72"/>
      <c r="Q422" s="72"/>
      <c r="R422" s="72"/>
      <c r="S422" s="72"/>
      <c r="T422" s="72"/>
      <c r="U422" s="72"/>
      <c r="V422" s="72"/>
      <c r="W422" s="72"/>
      <c r="X422" s="72"/>
      <c r="Y422" s="72"/>
      <c r="Z422" s="72"/>
      <c r="AA422" s="72"/>
    </row>
    <row r="423" spans="1:27" x14ac:dyDescent="0.35">
      <c r="A423"/>
      <c r="B423" s="97"/>
      <c r="C423"/>
      <c r="D423"/>
      <c r="E423" s="88"/>
      <c r="F423"/>
      <c r="G423"/>
      <c r="H423"/>
      <c r="I423"/>
      <c r="J423"/>
      <c r="K423"/>
      <c r="L423"/>
      <c r="M423"/>
      <c r="N423"/>
      <c r="O423"/>
      <c r="P423" s="72"/>
      <c r="Q423" s="72"/>
      <c r="R423" s="72"/>
      <c r="S423" s="72"/>
      <c r="T423" s="72"/>
      <c r="U423" s="72"/>
      <c r="V423" s="72"/>
      <c r="W423" s="72"/>
      <c r="X423" s="72"/>
      <c r="Y423" s="72"/>
      <c r="Z423" s="72"/>
      <c r="AA423" s="72"/>
    </row>
    <row r="424" spans="1:27" x14ac:dyDescent="0.35">
      <c r="A424"/>
      <c r="B424" s="97"/>
      <c r="C424"/>
      <c r="D424"/>
      <c r="E424" s="88"/>
      <c r="F424"/>
      <c r="G424"/>
      <c r="H424"/>
      <c r="I424"/>
      <c r="J424"/>
      <c r="K424"/>
      <c r="L424"/>
      <c r="M424"/>
      <c r="N424"/>
      <c r="O424"/>
      <c r="P424" s="72"/>
      <c r="Q424" s="72"/>
      <c r="R424" s="72"/>
      <c r="S424" s="72"/>
      <c r="T424" s="72"/>
      <c r="U424" s="72"/>
      <c r="V424" s="72"/>
      <c r="W424" s="72"/>
      <c r="X424" s="72"/>
      <c r="Y424" s="72"/>
      <c r="Z424" s="72"/>
      <c r="AA424" s="72"/>
    </row>
    <row r="425" spans="1:27" x14ac:dyDescent="0.35">
      <c r="A425"/>
      <c r="B425" s="97"/>
      <c r="C425"/>
      <c r="D425"/>
      <c r="E425" s="88"/>
      <c r="F425"/>
      <c r="G425"/>
      <c r="H425"/>
      <c r="I425"/>
      <c r="J425"/>
      <c r="K425"/>
      <c r="L425"/>
      <c r="M425"/>
      <c r="N425"/>
      <c r="O425"/>
      <c r="P425" s="72"/>
      <c r="Q425" s="72"/>
      <c r="R425" s="72"/>
      <c r="S425" s="72"/>
      <c r="T425" s="72"/>
      <c r="U425" s="72"/>
      <c r="V425" s="72"/>
      <c r="W425" s="72"/>
      <c r="X425" s="72"/>
      <c r="Y425" s="72"/>
      <c r="Z425" s="72"/>
      <c r="AA425" s="72"/>
    </row>
    <row r="426" spans="1:27" x14ac:dyDescent="0.35">
      <c r="A426"/>
      <c r="B426" s="97"/>
      <c r="C426"/>
      <c r="D426"/>
      <c r="E426" s="88"/>
      <c r="F426"/>
      <c r="G426"/>
      <c r="H426"/>
      <c r="I426"/>
      <c r="J426"/>
      <c r="K426"/>
      <c r="L426"/>
      <c r="M426"/>
      <c r="N426"/>
      <c r="O426"/>
      <c r="P426" s="72"/>
      <c r="Q426" s="72"/>
      <c r="R426" s="72"/>
      <c r="S426" s="72"/>
      <c r="T426" s="72"/>
      <c r="U426" s="72"/>
      <c r="V426" s="72"/>
      <c r="W426" s="72"/>
      <c r="X426" s="72"/>
      <c r="Y426" s="72"/>
      <c r="Z426" s="72"/>
      <c r="AA426" s="72"/>
    </row>
    <row r="427" spans="1:27" x14ac:dyDescent="0.35">
      <c r="A427"/>
      <c r="B427" s="97"/>
      <c r="C427"/>
      <c r="D427"/>
      <c r="E427" s="88"/>
      <c r="F427"/>
      <c r="G427"/>
      <c r="H427"/>
      <c r="I427"/>
      <c r="J427"/>
      <c r="K427"/>
      <c r="L427"/>
      <c r="M427"/>
      <c r="N427"/>
      <c r="O427"/>
      <c r="P427" s="72"/>
      <c r="Q427" s="72"/>
      <c r="R427" s="72"/>
      <c r="S427" s="72"/>
      <c r="T427" s="72"/>
      <c r="U427" s="72"/>
      <c r="V427" s="72"/>
      <c r="W427" s="72"/>
      <c r="X427" s="72"/>
      <c r="Y427" s="72"/>
      <c r="Z427" s="72"/>
      <c r="AA427" s="72"/>
    </row>
    <row r="428" spans="1:27" x14ac:dyDescent="0.35">
      <c r="A428"/>
      <c r="B428" s="97"/>
      <c r="C428"/>
      <c r="D428"/>
      <c r="E428" s="88"/>
      <c r="F428"/>
      <c r="G428"/>
      <c r="H428"/>
      <c r="I428"/>
      <c r="J428"/>
      <c r="K428"/>
      <c r="L428"/>
      <c r="M428"/>
      <c r="N428"/>
      <c r="O428"/>
      <c r="P428" s="72"/>
      <c r="Q428" s="72"/>
      <c r="R428" s="72"/>
      <c r="S428" s="72"/>
      <c r="T428" s="72"/>
      <c r="U428" s="72"/>
      <c r="V428" s="72"/>
      <c r="W428" s="72"/>
      <c r="X428" s="72"/>
      <c r="Y428" s="72"/>
      <c r="Z428" s="72"/>
      <c r="AA428" s="72"/>
    </row>
    <row r="429" spans="1:27" x14ac:dyDescent="0.35">
      <c r="A429"/>
      <c r="B429" s="97"/>
      <c r="C429"/>
      <c r="D429"/>
      <c r="E429" s="88"/>
      <c r="F429"/>
      <c r="G429"/>
      <c r="H429"/>
      <c r="I429"/>
      <c r="J429"/>
      <c r="K429"/>
      <c r="L429"/>
      <c r="M429"/>
      <c r="N429"/>
      <c r="O429"/>
      <c r="P429" s="72"/>
      <c r="Q429" s="72"/>
      <c r="R429" s="72"/>
      <c r="S429" s="72"/>
      <c r="T429" s="72"/>
      <c r="U429" s="72"/>
      <c r="V429" s="72"/>
      <c r="W429" s="72"/>
      <c r="X429" s="72"/>
      <c r="Y429" s="72"/>
      <c r="Z429" s="72"/>
      <c r="AA429" s="72"/>
    </row>
    <row r="430" spans="1:27" x14ac:dyDescent="0.35">
      <c r="A430"/>
      <c r="B430" s="97"/>
      <c r="C430"/>
      <c r="D430"/>
      <c r="E430" s="88"/>
      <c r="F430"/>
      <c r="G430"/>
      <c r="H430"/>
      <c r="I430"/>
      <c r="J430"/>
      <c r="K430"/>
      <c r="L430"/>
      <c r="M430"/>
      <c r="N430"/>
      <c r="O430"/>
      <c r="P430" s="72"/>
      <c r="Q430" s="72"/>
      <c r="R430" s="72"/>
      <c r="S430" s="72"/>
      <c r="T430" s="72"/>
      <c r="U430" s="72"/>
      <c r="V430" s="72"/>
      <c r="W430" s="72"/>
      <c r="X430" s="72"/>
      <c r="Y430" s="72"/>
      <c r="Z430" s="72"/>
      <c r="AA430" s="72"/>
    </row>
    <row r="431" spans="1:27" x14ac:dyDescent="0.35">
      <c r="A431"/>
      <c r="B431" s="97"/>
      <c r="C431"/>
      <c r="D431"/>
      <c r="E431" s="88"/>
      <c r="F431"/>
      <c r="G431"/>
      <c r="H431"/>
      <c r="I431"/>
      <c r="J431"/>
      <c r="K431"/>
      <c r="L431"/>
      <c r="M431"/>
      <c r="N431"/>
      <c r="O431"/>
      <c r="P431" s="72"/>
      <c r="Q431" s="72"/>
      <c r="R431" s="72"/>
      <c r="S431" s="72"/>
      <c r="T431" s="72"/>
      <c r="U431" s="72"/>
      <c r="V431" s="72"/>
      <c r="W431" s="72"/>
      <c r="X431" s="72"/>
      <c r="Y431" s="72"/>
      <c r="Z431" s="72"/>
      <c r="AA431" s="72"/>
    </row>
    <row r="432" spans="1:27" x14ac:dyDescent="0.35">
      <c r="A432"/>
      <c r="B432" s="97"/>
      <c r="C432"/>
      <c r="D432"/>
      <c r="E432" s="88"/>
      <c r="F432"/>
      <c r="G432"/>
      <c r="H432"/>
      <c r="I432"/>
      <c r="J432"/>
      <c r="K432"/>
      <c r="L432"/>
      <c r="M432"/>
      <c r="N432"/>
      <c r="O432"/>
      <c r="P432" s="72"/>
      <c r="Q432" s="72"/>
      <c r="R432" s="72"/>
      <c r="S432" s="72"/>
      <c r="T432" s="72"/>
      <c r="U432" s="72"/>
      <c r="V432" s="72"/>
      <c r="W432" s="72"/>
      <c r="X432" s="72"/>
      <c r="Y432" s="72"/>
      <c r="Z432" s="72"/>
      <c r="AA432" s="72"/>
    </row>
    <row r="433" spans="1:27" x14ac:dyDescent="0.35">
      <c r="A433"/>
      <c r="B433" s="97"/>
      <c r="C433"/>
      <c r="D433"/>
      <c r="E433" s="88"/>
      <c r="F433"/>
      <c r="G433"/>
      <c r="H433"/>
      <c r="I433"/>
      <c r="J433"/>
      <c r="K433"/>
      <c r="L433"/>
      <c r="M433"/>
      <c r="N433"/>
      <c r="O433"/>
      <c r="P433" s="72"/>
      <c r="Q433" s="72"/>
      <c r="R433" s="72"/>
      <c r="S433" s="72"/>
      <c r="T433" s="72"/>
      <c r="U433" s="72"/>
      <c r="V433" s="72"/>
      <c r="W433" s="72"/>
      <c r="X433" s="72"/>
      <c r="Y433" s="72"/>
      <c r="Z433" s="72"/>
      <c r="AA433" s="72"/>
    </row>
    <row r="434" spans="1:27" x14ac:dyDescent="0.35">
      <c r="A434"/>
      <c r="B434" s="97"/>
      <c r="C434"/>
      <c r="D434"/>
      <c r="E434" s="88"/>
      <c r="F434"/>
      <c r="G434"/>
      <c r="H434"/>
      <c r="I434"/>
      <c r="J434"/>
      <c r="K434"/>
      <c r="L434"/>
      <c r="M434"/>
      <c r="N434"/>
      <c r="O434"/>
      <c r="P434" s="72"/>
      <c r="Q434" s="72"/>
      <c r="R434" s="72"/>
      <c r="S434" s="72"/>
      <c r="T434" s="72"/>
      <c r="U434" s="72"/>
      <c r="V434" s="72"/>
      <c r="W434" s="72"/>
      <c r="X434" s="72"/>
      <c r="Y434" s="72"/>
      <c r="Z434" s="72"/>
      <c r="AA434" s="72"/>
    </row>
    <row r="435" spans="1:27" x14ac:dyDescent="0.35">
      <c r="A435"/>
      <c r="B435" s="97"/>
      <c r="C435"/>
      <c r="D435"/>
      <c r="E435" s="88"/>
      <c r="F435"/>
      <c r="G435"/>
      <c r="H435"/>
      <c r="I435"/>
      <c r="J435"/>
      <c r="K435"/>
      <c r="L435"/>
      <c r="M435"/>
      <c r="N435"/>
      <c r="O435"/>
      <c r="P435" s="72"/>
      <c r="Q435" s="72"/>
      <c r="R435" s="72"/>
      <c r="S435" s="72"/>
      <c r="T435" s="72"/>
      <c r="U435" s="72"/>
      <c r="V435" s="72"/>
      <c r="W435" s="72"/>
      <c r="X435" s="72"/>
      <c r="Y435" s="72"/>
      <c r="Z435" s="72"/>
      <c r="AA435" s="72"/>
    </row>
    <row r="436" spans="1:27" x14ac:dyDescent="0.35">
      <c r="A436"/>
      <c r="B436" s="97"/>
      <c r="C436"/>
      <c r="D436"/>
      <c r="E436" s="88"/>
      <c r="F436"/>
      <c r="G436"/>
      <c r="H436"/>
      <c r="I436"/>
      <c r="J436"/>
      <c r="K436"/>
      <c r="L436"/>
      <c r="M436"/>
      <c r="N436"/>
      <c r="O436"/>
      <c r="P436" s="72"/>
      <c r="Q436" s="72"/>
      <c r="R436" s="72"/>
      <c r="S436" s="72"/>
      <c r="T436" s="72"/>
      <c r="U436" s="72"/>
      <c r="V436" s="72"/>
      <c r="W436" s="72"/>
      <c r="X436" s="72"/>
      <c r="Y436" s="72"/>
      <c r="Z436" s="72"/>
      <c r="AA436" s="72"/>
    </row>
    <row r="437" spans="1:27" x14ac:dyDescent="0.35">
      <c r="A437"/>
      <c r="B437" s="97"/>
      <c r="C437"/>
      <c r="D437"/>
      <c r="E437" s="88"/>
      <c r="F437"/>
      <c r="G437"/>
      <c r="H437"/>
      <c r="I437"/>
      <c r="J437"/>
      <c r="K437"/>
      <c r="L437"/>
      <c r="M437"/>
      <c r="N437"/>
      <c r="O437"/>
      <c r="P437" s="72"/>
      <c r="Q437" s="72"/>
      <c r="R437" s="72"/>
      <c r="S437" s="72"/>
      <c r="T437" s="72"/>
      <c r="U437" s="72"/>
      <c r="V437" s="72"/>
      <c r="W437" s="72"/>
      <c r="X437" s="72"/>
      <c r="Y437" s="72"/>
      <c r="Z437" s="72"/>
      <c r="AA437" s="72"/>
    </row>
    <row r="438" spans="1:27" x14ac:dyDescent="0.35">
      <c r="A438"/>
      <c r="B438" s="97"/>
      <c r="C438"/>
      <c r="D438"/>
      <c r="E438" s="88"/>
      <c r="F438"/>
      <c r="G438"/>
      <c r="H438"/>
      <c r="I438"/>
      <c r="J438"/>
      <c r="K438"/>
      <c r="L438"/>
      <c r="M438"/>
      <c r="N438"/>
      <c r="O438"/>
      <c r="P438" s="72"/>
      <c r="Q438" s="72"/>
      <c r="R438" s="72"/>
      <c r="S438" s="72"/>
      <c r="T438" s="72"/>
      <c r="U438" s="72"/>
      <c r="V438" s="72"/>
      <c r="W438" s="72"/>
      <c r="X438" s="72"/>
      <c r="Y438" s="72"/>
      <c r="Z438" s="72"/>
      <c r="AA438" s="72"/>
    </row>
    <row r="439" spans="1:27" x14ac:dyDescent="0.35">
      <c r="A439"/>
      <c r="B439" s="97"/>
      <c r="C439"/>
      <c r="D439"/>
      <c r="E439" s="88"/>
      <c r="F439"/>
      <c r="G439"/>
      <c r="H439"/>
      <c r="I439"/>
      <c r="J439"/>
      <c r="K439"/>
      <c r="L439"/>
      <c r="M439"/>
      <c r="N439"/>
      <c r="O439"/>
      <c r="P439" s="72"/>
      <c r="Q439" s="72"/>
      <c r="R439" s="72"/>
      <c r="S439" s="72"/>
      <c r="T439" s="72"/>
      <c r="U439" s="72"/>
      <c r="V439" s="72"/>
      <c r="W439" s="72"/>
      <c r="X439" s="72"/>
      <c r="Y439" s="72"/>
      <c r="Z439" s="72"/>
      <c r="AA439" s="72"/>
    </row>
    <row r="440" spans="1:27" x14ac:dyDescent="0.35">
      <c r="A440"/>
      <c r="B440" s="97"/>
      <c r="C440"/>
      <c r="D440"/>
      <c r="E440" s="88"/>
      <c r="F440"/>
      <c r="G440"/>
      <c r="H440"/>
      <c r="I440"/>
      <c r="J440"/>
      <c r="K440"/>
      <c r="L440"/>
      <c r="M440"/>
      <c r="N440"/>
      <c r="O440"/>
      <c r="P440" s="72"/>
      <c r="Q440" s="72"/>
      <c r="R440" s="72"/>
      <c r="S440" s="72"/>
      <c r="T440" s="72"/>
      <c r="U440" s="72"/>
      <c r="V440" s="72"/>
      <c r="W440" s="72"/>
      <c r="X440" s="72"/>
      <c r="Y440" s="72"/>
      <c r="Z440" s="72"/>
      <c r="AA440" s="72"/>
    </row>
    <row r="441" spans="1:27" x14ac:dyDescent="0.35">
      <c r="A441"/>
      <c r="B441" s="97"/>
      <c r="C441"/>
      <c r="D441"/>
      <c r="E441" s="88"/>
      <c r="F441"/>
      <c r="G441"/>
      <c r="H441"/>
      <c r="I441"/>
      <c r="J441"/>
      <c r="K441"/>
      <c r="L441"/>
      <c r="M441"/>
      <c r="N441"/>
      <c r="O441"/>
      <c r="P441" s="72"/>
      <c r="Q441" s="72"/>
      <c r="R441" s="72"/>
      <c r="S441" s="72"/>
      <c r="T441" s="72"/>
      <c r="U441" s="72"/>
      <c r="V441" s="72"/>
      <c r="W441" s="72"/>
      <c r="X441" s="72"/>
      <c r="Y441" s="72"/>
      <c r="Z441" s="72"/>
      <c r="AA441" s="72"/>
    </row>
    <row r="442" spans="1:27" x14ac:dyDescent="0.35">
      <c r="A442"/>
      <c r="B442" s="97"/>
      <c r="C442"/>
      <c r="D442"/>
      <c r="E442" s="88"/>
      <c r="F442"/>
      <c r="G442"/>
      <c r="H442"/>
      <c r="I442"/>
      <c r="J442"/>
      <c r="K442"/>
      <c r="L442"/>
      <c r="M442"/>
      <c r="N442"/>
      <c r="O442"/>
      <c r="P442" s="72"/>
      <c r="Q442" s="72"/>
      <c r="R442" s="72"/>
      <c r="S442" s="72"/>
      <c r="T442" s="72"/>
      <c r="U442" s="72"/>
      <c r="V442" s="72"/>
      <c r="W442" s="72"/>
      <c r="X442" s="72"/>
      <c r="Y442" s="72"/>
      <c r="Z442" s="72"/>
      <c r="AA442" s="72"/>
    </row>
    <row r="443" spans="1:27" x14ac:dyDescent="0.35">
      <c r="A443"/>
      <c r="B443" s="97"/>
      <c r="C443"/>
      <c r="D443"/>
      <c r="E443" s="88"/>
      <c r="F443"/>
      <c r="G443"/>
      <c r="H443"/>
      <c r="I443"/>
      <c r="J443"/>
      <c r="K443"/>
      <c r="L443"/>
      <c r="M443"/>
      <c r="N443"/>
      <c r="O443"/>
      <c r="P443" s="72"/>
      <c r="Q443" s="72"/>
      <c r="R443" s="72"/>
      <c r="S443" s="72"/>
      <c r="T443" s="72"/>
      <c r="U443" s="72"/>
      <c r="V443" s="72"/>
      <c r="W443" s="72"/>
      <c r="X443" s="72"/>
      <c r="Y443" s="72"/>
      <c r="Z443" s="72"/>
      <c r="AA443" s="72"/>
    </row>
    <row r="444" spans="1:27" x14ac:dyDescent="0.35">
      <c r="A444"/>
      <c r="B444" s="97"/>
      <c r="C444"/>
      <c r="D444"/>
      <c r="E444" s="88"/>
      <c r="F444"/>
      <c r="G444"/>
      <c r="H444"/>
      <c r="I444"/>
      <c r="J444"/>
      <c r="K444"/>
      <c r="L444"/>
      <c r="M444"/>
      <c r="N444"/>
      <c r="O444"/>
      <c r="P444" s="72"/>
      <c r="Q444" s="72"/>
      <c r="R444" s="72"/>
      <c r="S444" s="72"/>
      <c r="T444" s="72"/>
      <c r="U444" s="72"/>
      <c r="V444" s="72"/>
      <c r="W444" s="72"/>
      <c r="X444" s="72"/>
      <c r="Y444" s="72"/>
      <c r="Z444" s="72"/>
      <c r="AA444" s="72"/>
    </row>
    <row r="445" spans="1:27" x14ac:dyDescent="0.35">
      <c r="A445"/>
      <c r="B445" s="97"/>
      <c r="C445"/>
      <c r="D445"/>
      <c r="E445" s="88"/>
      <c r="F445"/>
      <c r="G445"/>
      <c r="H445"/>
      <c r="I445"/>
      <c r="J445"/>
      <c r="K445"/>
      <c r="L445"/>
      <c r="M445"/>
      <c r="N445"/>
      <c r="O445"/>
      <c r="P445" s="72"/>
      <c r="Q445" s="72"/>
      <c r="R445" s="72"/>
      <c r="S445" s="72"/>
      <c r="T445" s="72"/>
      <c r="U445" s="72"/>
      <c r="V445" s="72"/>
      <c r="W445" s="72"/>
      <c r="X445" s="72"/>
      <c r="Y445" s="72"/>
      <c r="Z445" s="72"/>
      <c r="AA445" s="72"/>
    </row>
    <row r="446" spans="1:27" x14ac:dyDescent="0.35">
      <c r="A446"/>
      <c r="B446" s="97"/>
      <c r="C446"/>
      <c r="D446"/>
      <c r="E446" s="88"/>
      <c r="F446"/>
      <c r="G446"/>
      <c r="H446"/>
      <c r="I446"/>
      <c r="J446"/>
      <c r="K446"/>
      <c r="L446"/>
      <c r="M446"/>
      <c r="N446"/>
      <c r="O446"/>
      <c r="P446" s="72"/>
      <c r="Q446" s="72"/>
      <c r="R446" s="72"/>
      <c r="S446" s="72"/>
      <c r="T446" s="72"/>
      <c r="U446" s="72"/>
      <c r="V446" s="72"/>
      <c r="W446" s="72"/>
      <c r="X446" s="72"/>
      <c r="Y446" s="72"/>
      <c r="Z446" s="72"/>
      <c r="AA446" s="72"/>
    </row>
    <row r="447" spans="1:27" x14ac:dyDescent="0.35">
      <c r="A447"/>
      <c r="B447" s="97"/>
      <c r="C447"/>
      <c r="D447"/>
      <c r="E447" s="88"/>
      <c r="F447"/>
      <c r="G447"/>
      <c r="H447"/>
      <c r="I447"/>
      <c r="J447"/>
      <c r="K447"/>
      <c r="L447"/>
      <c r="M447"/>
      <c r="N447"/>
      <c r="O447"/>
      <c r="P447" s="72"/>
      <c r="Q447" s="72"/>
      <c r="R447" s="72"/>
      <c r="S447" s="72"/>
      <c r="T447" s="72"/>
      <c r="U447" s="72"/>
      <c r="V447" s="72"/>
      <c r="W447" s="72"/>
      <c r="X447" s="72"/>
      <c r="Y447" s="72"/>
      <c r="Z447" s="72"/>
      <c r="AA447" s="72"/>
    </row>
    <row r="448" spans="1:27" x14ac:dyDescent="0.35">
      <c r="A448"/>
      <c r="B448" s="97"/>
      <c r="C448"/>
      <c r="D448"/>
      <c r="E448" s="88"/>
      <c r="F448"/>
      <c r="G448"/>
      <c r="H448"/>
      <c r="I448"/>
      <c r="J448"/>
      <c r="K448"/>
      <c r="L448"/>
      <c r="M448"/>
      <c r="N448"/>
      <c r="O448"/>
      <c r="P448" s="72"/>
      <c r="Q448" s="72"/>
      <c r="R448" s="72"/>
      <c r="S448" s="72"/>
      <c r="T448" s="72"/>
      <c r="U448" s="72"/>
      <c r="V448" s="72"/>
      <c r="W448" s="72"/>
      <c r="X448" s="72"/>
      <c r="Y448" s="72"/>
      <c r="Z448" s="72"/>
      <c r="AA448" s="72"/>
    </row>
    <row r="449" spans="1:27" x14ac:dyDescent="0.35">
      <c r="A449"/>
      <c r="B449" s="97"/>
      <c r="C449"/>
      <c r="D449"/>
      <c r="E449" s="88"/>
      <c r="F449"/>
      <c r="G449"/>
      <c r="H449"/>
      <c r="I449"/>
      <c r="J449"/>
      <c r="K449"/>
      <c r="L449"/>
      <c r="M449"/>
      <c r="N449"/>
      <c r="O449"/>
      <c r="P449" s="72"/>
      <c r="Q449" s="72"/>
      <c r="R449" s="72"/>
      <c r="S449" s="72"/>
      <c r="T449" s="72"/>
      <c r="U449" s="72"/>
      <c r="V449" s="72"/>
      <c r="W449" s="72"/>
      <c r="X449" s="72"/>
      <c r="Y449" s="72"/>
      <c r="Z449" s="72"/>
      <c r="AA449" s="72"/>
    </row>
    <row r="450" spans="1:27" x14ac:dyDescent="0.35">
      <c r="A450"/>
      <c r="B450" s="97"/>
      <c r="C450"/>
      <c r="D450"/>
      <c r="E450" s="88"/>
      <c r="F450"/>
      <c r="G450"/>
      <c r="H450"/>
      <c r="I450"/>
      <c r="J450"/>
      <c r="K450"/>
      <c r="L450"/>
      <c r="M450"/>
      <c r="N450"/>
      <c r="O450"/>
      <c r="P450" s="72"/>
      <c r="Q450" s="72"/>
      <c r="R450" s="72"/>
      <c r="S450" s="72"/>
      <c r="T450" s="72"/>
      <c r="U450" s="72"/>
      <c r="V450" s="72"/>
      <c r="W450" s="72"/>
      <c r="X450" s="72"/>
      <c r="Y450" s="72"/>
      <c r="Z450" s="72"/>
      <c r="AA450" s="72"/>
    </row>
    <row r="451" spans="1:27" x14ac:dyDescent="0.35">
      <c r="A451"/>
      <c r="B451" s="97"/>
      <c r="C451"/>
      <c r="D451"/>
      <c r="E451" s="88"/>
      <c r="F451"/>
      <c r="G451"/>
      <c r="H451"/>
      <c r="I451"/>
      <c r="J451"/>
      <c r="K451"/>
      <c r="L451"/>
      <c r="M451"/>
      <c r="N451"/>
      <c r="O451"/>
      <c r="P451" s="72"/>
      <c r="Q451" s="72"/>
      <c r="R451" s="72"/>
      <c r="S451" s="72"/>
      <c r="T451" s="72"/>
      <c r="U451" s="72"/>
      <c r="V451" s="72"/>
      <c r="W451" s="72"/>
      <c r="X451" s="72"/>
      <c r="Y451" s="72"/>
      <c r="Z451" s="72"/>
      <c r="AA451" s="72"/>
    </row>
    <row r="452" spans="1:27" x14ac:dyDescent="0.35">
      <c r="A452"/>
      <c r="B452" s="97"/>
      <c r="C452"/>
      <c r="D452"/>
      <c r="E452" s="88"/>
      <c r="F452"/>
      <c r="G452"/>
      <c r="H452"/>
      <c r="I452"/>
      <c r="J452"/>
      <c r="K452"/>
      <c r="L452"/>
      <c r="M452"/>
      <c r="N452"/>
      <c r="O452"/>
      <c r="P452" s="72"/>
      <c r="Q452" s="72"/>
      <c r="R452" s="72"/>
      <c r="S452" s="72"/>
      <c r="T452" s="72"/>
      <c r="U452" s="72"/>
      <c r="V452" s="72"/>
      <c r="W452" s="72"/>
      <c r="X452" s="72"/>
      <c r="Y452" s="72"/>
      <c r="Z452" s="72"/>
      <c r="AA452" s="72"/>
    </row>
    <row r="453" spans="1:27" x14ac:dyDescent="0.35">
      <c r="A453"/>
      <c r="B453" s="97"/>
      <c r="C453"/>
      <c r="D453"/>
      <c r="E453" s="88"/>
      <c r="F453"/>
      <c r="G453"/>
      <c r="H453"/>
      <c r="I453"/>
      <c r="J453"/>
      <c r="K453"/>
      <c r="L453"/>
      <c r="M453"/>
      <c r="N453"/>
      <c r="O453"/>
      <c r="P453" s="72"/>
      <c r="Q453" s="72"/>
      <c r="R453" s="72"/>
      <c r="S453" s="72"/>
      <c r="T453" s="72"/>
      <c r="U453" s="72"/>
      <c r="V453" s="72"/>
      <c r="W453" s="72"/>
      <c r="X453" s="72"/>
      <c r="Y453" s="72"/>
      <c r="Z453" s="72"/>
      <c r="AA453" s="72"/>
    </row>
    <row r="454" spans="1:27" x14ac:dyDescent="0.35">
      <c r="A454"/>
      <c r="B454" s="97"/>
      <c r="C454"/>
      <c r="D454"/>
      <c r="E454" s="88"/>
      <c r="F454"/>
      <c r="G454"/>
      <c r="H454"/>
      <c r="I454"/>
      <c r="J454"/>
      <c r="K454"/>
      <c r="L454"/>
      <c r="M454"/>
      <c r="N454"/>
      <c r="O454"/>
      <c r="P454" s="72"/>
      <c r="Q454" s="72"/>
      <c r="R454" s="72"/>
      <c r="S454" s="72"/>
      <c r="T454" s="72"/>
      <c r="U454" s="72"/>
      <c r="V454" s="72"/>
      <c r="W454" s="72"/>
      <c r="X454" s="72"/>
      <c r="Y454" s="72"/>
      <c r="Z454" s="72"/>
      <c r="AA454" s="72"/>
    </row>
    <row r="455" spans="1:27" x14ac:dyDescent="0.35">
      <c r="A455"/>
      <c r="B455" s="97"/>
      <c r="C455"/>
      <c r="D455"/>
      <c r="E455" s="88"/>
      <c r="F455"/>
      <c r="G455"/>
      <c r="H455"/>
      <c r="I455"/>
      <c r="J455"/>
      <c r="K455"/>
      <c r="L455"/>
      <c r="M455"/>
      <c r="N455"/>
      <c r="O455"/>
      <c r="P455" s="72"/>
      <c r="Q455" s="72"/>
      <c r="R455" s="72"/>
      <c r="S455" s="72"/>
      <c r="T455" s="72"/>
      <c r="U455" s="72"/>
      <c r="V455" s="72"/>
      <c r="W455" s="72"/>
      <c r="X455" s="72"/>
      <c r="Y455" s="72"/>
      <c r="Z455" s="72"/>
      <c r="AA455" s="72"/>
    </row>
    <row r="456" spans="1:27" x14ac:dyDescent="0.35">
      <c r="A456"/>
      <c r="B456" s="97"/>
      <c r="C456"/>
      <c r="D456"/>
      <c r="E456" s="88"/>
      <c r="F456"/>
      <c r="G456"/>
      <c r="H456"/>
      <c r="I456"/>
      <c r="J456"/>
      <c r="K456"/>
      <c r="L456"/>
      <c r="M456"/>
      <c r="N456"/>
      <c r="O456"/>
      <c r="P456" s="72"/>
      <c r="Q456" s="72"/>
      <c r="R456" s="72"/>
      <c r="S456" s="72"/>
      <c r="T456" s="72"/>
      <c r="U456" s="72"/>
      <c r="V456" s="72"/>
      <c r="W456" s="72"/>
      <c r="X456" s="72"/>
      <c r="Y456" s="72"/>
      <c r="Z456" s="72"/>
      <c r="AA456" s="72"/>
    </row>
    <row r="457" spans="1:27" x14ac:dyDescent="0.35">
      <c r="A457"/>
      <c r="B457" s="97"/>
      <c r="C457"/>
      <c r="D457"/>
      <c r="E457" s="88"/>
      <c r="F457"/>
      <c r="G457"/>
      <c r="H457"/>
      <c r="I457"/>
      <c r="J457"/>
      <c r="K457"/>
      <c r="L457"/>
      <c r="M457"/>
      <c r="N457"/>
      <c r="O457"/>
      <c r="P457" s="72"/>
      <c r="Q457" s="72"/>
      <c r="R457" s="72"/>
      <c r="S457" s="72"/>
      <c r="T457" s="72"/>
      <c r="U457" s="72"/>
      <c r="V457" s="72"/>
      <c r="W457" s="72"/>
      <c r="X457" s="72"/>
      <c r="Y457" s="72"/>
      <c r="Z457" s="72"/>
      <c r="AA457" s="72"/>
    </row>
    <row r="458" spans="1:27" x14ac:dyDescent="0.35">
      <c r="A458"/>
      <c r="B458" s="97"/>
      <c r="C458"/>
      <c r="D458"/>
      <c r="E458" s="88"/>
      <c r="F458"/>
      <c r="G458"/>
      <c r="H458"/>
      <c r="I458"/>
      <c r="J458"/>
      <c r="K458"/>
      <c r="L458"/>
      <c r="M458"/>
      <c r="N458"/>
      <c r="O458"/>
      <c r="P458" s="72"/>
      <c r="Q458" s="72"/>
      <c r="R458" s="72"/>
      <c r="S458" s="72"/>
      <c r="T458" s="72"/>
      <c r="U458" s="72"/>
      <c r="V458" s="72"/>
      <c r="W458" s="72"/>
      <c r="X458" s="72"/>
      <c r="Y458" s="72"/>
      <c r="Z458" s="72"/>
      <c r="AA458" s="72"/>
    </row>
    <row r="459" spans="1:27" x14ac:dyDescent="0.35">
      <c r="A459"/>
      <c r="B459" s="97"/>
      <c r="C459"/>
      <c r="D459"/>
      <c r="E459" s="88"/>
      <c r="F459"/>
      <c r="G459"/>
      <c r="H459"/>
      <c r="I459"/>
      <c r="J459"/>
      <c r="K459"/>
      <c r="L459"/>
      <c r="M459"/>
      <c r="N459"/>
      <c r="O459"/>
      <c r="P459" s="72"/>
      <c r="Q459" s="72"/>
      <c r="R459" s="72"/>
      <c r="S459" s="72"/>
      <c r="T459" s="72"/>
      <c r="U459" s="72"/>
      <c r="V459" s="72"/>
      <c r="W459" s="72"/>
      <c r="X459" s="72"/>
      <c r="Y459" s="72"/>
      <c r="Z459" s="72"/>
      <c r="AA459" s="72"/>
    </row>
    <row r="460" spans="1:27" x14ac:dyDescent="0.35">
      <c r="A460"/>
      <c r="B460" s="97"/>
      <c r="C460"/>
      <c r="D460"/>
      <c r="E460" s="88"/>
      <c r="F460"/>
      <c r="G460"/>
      <c r="H460"/>
      <c r="I460"/>
      <c r="J460"/>
      <c r="K460"/>
      <c r="L460"/>
      <c r="M460"/>
      <c r="N460"/>
      <c r="O460"/>
      <c r="P460" s="72"/>
      <c r="Q460" s="72"/>
      <c r="R460" s="72"/>
      <c r="S460" s="72"/>
      <c r="T460" s="72"/>
      <c r="U460" s="72"/>
      <c r="V460" s="72"/>
      <c r="W460" s="72"/>
      <c r="X460" s="72"/>
      <c r="Y460" s="72"/>
      <c r="Z460" s="72"/>
      <c r="AA460" s="72"/>
    </row>
    <row r="461" spans="1:27" x14ac:dyDescent="0.35">
      <c r="A461"/>
      <c r="B461" s="97"/>
      <c r="C461"/>
      <c r="D461"/>
      <c r="E461" s="88"/>
      <c r="F461"/>
      <c r="G461"/>
      <c r="H461"/>
      <c r="I461"/>
      <c r="J461"/>
      <c r="K461"/>
      <c r="L461"/>
      <c r="M461"/>
      <c r="N461"/>
      <c r="O461"/>
      <c r="P461" s="72"/>
      <c r="Q461" s="72"/>
      <c r="R461" s="72"/>
      <c r="S461" s="72"/>
      <c r="T461" s="72"/>
      <c r="U461" s="72"/>
      <c r="V461" s="72"/>
      <c r="W461" s="72"/>
      <c r="X461" s="72"/>
      <c r="Y461" s="72"/>
      <c r="Z461" s="72"/>
      <c r="AA461" s="72"/>
    </row>
    <row r="462" spans="1:27" x14ac:dyDescent="0.35">
      <c r="A462"/>
      <c r="B462" s="97"/>
      <c r="C462"/>
      <c r="D462"/>
      <c r="E462" s="88"/>
      <c r="F462"/>
      <c r="G462"/>
      <c r="H462"/>
      <c r="I462"/>
      <c r="J462"/>
      <c r="K462"/>
      <c r="L462"/>
      <c r="M462"/>
      <c r="N462"/>
      <c r="O462"/>
      <c r="P462" s="72"/>
      <c r="Q462" s="72"/>
      <c r="R462" s="72"/>
      <c r="S462" s="72"/>
      <c r="T462" s="72"/>
      <c r="U462" s="72"/>
      <c r="V462" s="72"/>
      <c r="W462" s="72"/>
      <c r="X462" s="72"/>
      <c r="Y462" s="72"/>
      <c r="Z462" s="72"/>
      <c r="AA462" s="72"/>
    </row>
    <row r="463" spans="1:27" x14ac:dyDescent="0.35">
      <c r="A463"/>
      <c r="B463" s="97"/>
      <c r="C463"/>
      <c r="D463"/>
      <c r="E463" s="88"/>
      <c r="F463"/>
      <c r="G463"/>
      <c r="H463"/>
      <c r="I463"/>
      <c r="J463"/>
      <c r="K463"/>
      <c r="L463"/>
      <c r="M463"/>
      <c r="N463"/>
      <c r="O463"/>
      <c r="P463" s="72"/>
      <c r="Q463" s="72"/>
      <c r="R463" s="72"/>
      <c r="S463" s="72"/>
      <c r="T463" s="72"/>
      <c r="U463" s="72"/>
      <c r="V463" s="72"/>
      <c r="W463" s="72"/>
      <c r="X463" s="72"/>
      <c r="Y463" s="72"/>
      <c r="Z463" s="72"/>
      <c r="AA463" s="72"/>
    </row>
    <row r="464" spans="1:27" x14ac:dyDescent="0.35">
      <c r="A464"/>
      <c r="B464" s="97"/>
      <c r="C464"/>
      <c r="D464"/>
      <c r="E464" s="88"/>
      <c r="F464"/>
      <c r="G464"/>
      <c r="H464"/>
      <c r="I464"/>
      <c r="J464"/>
      <c r="K464"/>
      <c r="L464"/>
      <c r="M464"/>
      <c r="N464"/>
      <c r="O464"/>
      <c r="P464" s="72"/>
      <c r="Q464" s="72"/>
      <c r="R464" s="72"/>
      <c r="S464" s="72"/>
      <c r="T464" s="72"/>
      <c r="U464" s="72"/>
      <c r="V464" s="72"/>
      <c r="W464" s="72"/>
      <c r="X464" s="72"/>
      <c r="Y464" s="72"/>
      <c r="Z464" s="72"/>
      <c r="AA464" s="72"/>
    </row>
    <row r="465" spans="1:27" x14ac:dyDescent="0.35">
      <c r="A465"/>
      <c r="B465" s="97"/>
      <c r="C465"/>
      <c r="D465"/>
      <c r="E465" s="88"/>
      <c r="F465"/>
      <c r="G465"/>
      <c r="H465"/>
      <c r="I465"/>
      <c r="J465"/>
      <c r="K465"/>
      <c r="L465"/>
      <c r="M465"/>
      <c r="N465"/>
      <c r="O465"/>
      <c r="P465" s="72"/>
      <c r="Q465" s="72"/>
      <c r="R465" s="72"/>
      <c r="S465" s="72"/>
      <c r="T465" s="72"/>
      <c r="U465" s="72"/>
      <c r="V465" s="72"/>
      <c r="W465" s="72"/>
      <c r="X465" s="72"/>
      <c r="Y465" s="72"/>
      <c r="Z465" s="72"/>
      <c r="AA465" s="72"/>
    </row>
    <row r="466" spans="1:27" x14ac:dyDescent="0.35">
      <c r="A466"/>
      <c r="B466" s="97"/>
      <c r="C466"/>
      <c r="D466"/>
      <c r="E466" s="88"/>
      <c r="F466"/>
      <c r="G466"/>
      <c r="H466"/>
      <c r="I466"/>
      <c r="J466"/>
      <c r="K466"/>
      <c r="L466"/>
      <c r="M466"/>
      <c r="N466"/>
      <c r="O466"/>
      <c r="P466" s="72"/>
      <c r="Q466" s="72"/>
      <c r="R466" s="72"/>
      <c r="S466" s="72"/>
      <c r="T466" s="72"/>
      <c r="U466" s="72"/>
      <c r="V466" s="72"/>
      <c r="W466" s="72"/>
      <c r="X466" s="72"/>
      <c r="Y466" s="72"/>
      <c r="Z466" s="72"/>
      <c r="AA466" s="72"/>
    </row>
    <row r="467" spans="1:27" x14ac:dyDescent="0.35">
      <c r="A467"/>
      <c r="B467" s="97"/>
      <c r="C467"/>
      <c r="D467"/>
      <c r="E467" s="88"/>
      <c r="F467"/>
      <c r="G467"/>
      <c r="H467"/>
      <c r="I467"/>
      <c r="J467"/>
      <c r="K467"/>
      <c r="L467"/>
      <c r="M467"/>
      <c r="N467"/>
      <c r="O467"/>
      <c r="P467" s="72"/>
      <c r="Q467" s="72"/>
      <c r="R467" s="72"/>
      <c r="S467" s="72"/>
      <c r="T467" s="72"/>
      <c r="U467" s="72"/>
      <c r="V467" s="72"/>
      <c r="W467" s="72"/>
      <c r="X467" s="72"/>
      <c r="Y467" s="72"/>
      <c r="Z467" s="72"/>
      <c r="AA467" s="72"/>
    </row>
    <row r="468" spans="1:27" x14ac:dyDescent="0.35">
      <c r="A468"/>
      <c r="B468" s="97"/>
      <c r="C468"/>
      <c r="D468"/>
      <c r="E468" s="88"/>
      <c r="F468"/>
      <c r="G468"/>
      <c r="H468"/>
      <c r="I468"/>
      <c r="J468"/>
      <c r="K468"/>
      <c r="L468"/>
      <c r="M468"/>
      <c r="N468"/>
      <c r="O468"/>
      <c r="P468" s="72"/>
      <c r="Q468" s="72"/>
      <c r="R468" s="72"/>
      <c r="S468" s="72"/>
      <c r="T468" s="72"/>
      <c r="U468" s="72"/>
      <c r="V468" s="72"/>
      <c r="W468" s="72"/>
      <c r="X468" s="72"/>
      <c r="Y468" s="72"/>
      <c r="Z468" s="72"/>
      <c r="AA468" s="72"/>
    </row>
    <row r="469" spans="1:27" x14ac:dyDescent="0.35">
      <c r="A469"/>
      <c r="B469" s="97"/>
      <c r="C469"/>
      <c r="D469"/>
      <c r="E469" s="88"/>
      <c r="F469"/>
      <c r="G469"/>
      <c r="H469"/>
      <c r="I469"/>
      <c r="J469"/>
      <c r="K469"/>
      <c r="L469"/>
      <c r="M469"/>
      <c r="N469"/>
      <c r="O469"/>
      <c r="P469" s="72"/>
      <c r="Q469" s="72"/>
      <c r="R469" s="72"/>
      <c r="S469" s="72"/>
      <c r="T469" s="72"/>
      <c r="U469" s="72"/>
      <c r="V469" s="72"/>
      <c r="W469" s="72"/>
      <c r="X469" s="72"/>
      <c r="Y469" s="72"/>
      <c r="Z469" s="72"/>
      <c r="AA469" s="72"/>
    </row>
    <row r="470" spans="1:27" x14ac:dyDescent="0.35">
      <c r="A470"/>
      <c r="B470" s="97"/>
      <c r="C470"/>
      <c r="D470"/>
      <c r="E470" s="88"/>
      <c r="F470"/>
      <c r="G470"/>
      <c r="H470"/>
      <c r="I470"/>
      <c r="J470"/>
      <c r="K470"/>
      <c r="L470"/>
      <c r="M470"/>
      <c r="N470"/>
      <c r="O470"/>
      <c r="P470" s="72"/>
      <c r="Q470" s="72"/>
      <c r="R470" s="72"/>
      <c r="S470" s="72"/>
      <c r="T470" s="72"/>
      <c r="U470" s="72"/>
      <c r="V470" s="72"/>
      <c r="W470" s="72"/>
      <c r="X470" s="72"/>
      <c r="Y470" s="72"/>
      <c r="Z470" s="72"/>
      <c r="AA470" s="72"/>
    </row>
    <row r="471" spans="1:27" x14ac:dyDescent="0.35">
      <c r="A471"/>
      <c r="B471" s="97"/>
      <c r="C471"/>
      <c r="D471"/>
      <c r="E471" s="88"/>
      <c r="F471"/>
      <c r="G471"/>
      <c r="H471"/>
      <c r="I471"/>
      <c r="J471"/>
      <c r="K471"/>
      <c r="L471"/>
      <c r="M471"/>
      <c r="N471"/>
      <c r="O471"/>
      <c r="P471" s="72"/>
      <c r="Q471" s="72"/>
      <c r="R471" s="72"/>
      <c r="S471" s="72"/>
      <c r="T471" s="72"/>
      <c r="U471" s="72"/>
      <c r="V471" s="72"/>
      <c r="W471" s="72"/>
      <c r="X471" s="72"/>
      <c r="Y471" s="72"/>
      <c r="Z471" s="72"/>
      <c r="AA471" s="72"/>
    </row>
    <row r="472" spans="1:27" x14ac:dyDescent="0.35">
      <c r="A472"/>
      <c r="B472" s="97"/>
      <c r="C472"/>
      <c r="D472"/>
      <c r="E472" s="88"/>
      <c r="F472"/>
      <c r="G472"/>
      <c r="H472"/>
      <c r="I472"/>
      <c r="J472"/>
      <c r="K472"/>
      <c r="L472"/>
      <c r="M472"/>
      <c r="N472"/>
      <c r="O472"/>
      <c r="P472" s="72"/>
      <c r="Q472" s="72"/>
      <c r="R472" s="72"/>
      <c r="S472" s="72"/>
      <c r="T472" s="72"/>
      <c r="U472" s="72"/>
      <c r="V472" s="72"/>
      <c r="W472" s="72"/>
      <c r="X472" s="72"/>
      <c r="Y472" s="72"/>
      <c r="Z472" s="72"/>
      <c r="AA472" s="72"/>
    </row>
    <row r="473" spans="1:27" x14ac:dyDescent="0.35">
      <c r="A473"/>
      <c r="B473" s="97"/>
      <c r="C473"/>
      <c r="D473"/>
      <c r="E473" s="88"/>
      <c r="F473"/>
      <c r="G473"/>
      <c r="H473"/>
      <c r="I473"/>
      <c r="J473"/>
      <c r="K473"/>
      <c r="L473"/>
      <c r="M473"/>
      <c r="N473"/>
      <c r="O473"/>
      <c r="P473" s="72"/>
      <c r="Q473" s="72"/>
      <c r="R473" s="72"/>
      <c r="S473" s="72"/>
      <c r="T473" s="72"/>
      <c r="U473" s="72"/>
      <c r="V473" s="72"/>
      <c r="W473" s="72"/>
      <c r="X473" s="72"/>
      <c r="Y473" s="72"/>
      <c r="Z473" s="72"/>
      <c r="AA473" s="72"/>
    </row>
    <row r="474" spans="1:27" x14ac:dyDescent="0.35">
      <c r="A474"/>
      <c r="B474" s="97"/>
      <c r="C474"/>
      <c r="D474"/>
      <c r="E474" s="88"/>
      <c r="F474"/>
      <c r="G474"/>
      <c r="H474"/>
      <c r="I474"/>
      <c r="J474"/>
      <c r="K474"/>
      <c r="L474"/>
      <c r="M474"/>
      <c r="N474"/>
      <c r="O474"/>
      <c r="P474" s="72"/>
      <c r="Q474" s="72"/>
      <c r="R474" s="72"/>
      <c r="S474" s="72"/>
      <c r="T474" s="72"/>
      <c r="U474" s="72"/>
      <c r="V474" s="72"/>
      <c r="W474" s="72"/>
      <c r="X474" s="72"/>
      <c r="Y474" s="72"/>
      <c r="Z474" s="72"/>
      <c r="AA474" s="72"/>
    </row>
    <row r="475" spans="1:27" x14ac:dyDescent="0.35">
      <c r="A475"/>
      <c r="B475" s="97"/>
      <c r="C475"/>
      <c r="D475"/>
      <c r="E475" s="88"/>
      <c r="F475"/>
      <c r="G475"/>
      <c r="H475"/>
      <c r="I475"/>
      <c r="J475"/>
      <c r="K475"/>
      <c r="L475"/>
      <c r="M475"/>
      <c r="N475"/>
      <c r="O475"/>
      <c r="P475" s="72"/>
      <c r="Q475" s="72"/>
      <c r="R475" s="72"/>
      <c r="S475" s="72"/>
      <c r="T475" s="72"/>
      <c r="U475" s="72"/>
      <c r="V475" s="72"/>
      <c r="W475" s="72"/>
      <c r="X475" s="72"/>
      <c r="Y475" s="72"/>
      <c r="Z475" s="72"/>
      <c r="AA475" s="72"/>
    </row>
    <row r="476" spans="1:27" x14ac:dyDescent="0.35">
      <c r="A476"/>
      <c r="B476" s="97"/>
      <c r="C476"/>
      <c r="D476"/>
      <c r="E476" s="88"/>
      <c r="F476"/>
      <c r="G476"/>
      <c r="H476"/>
      <c r="I476"/>
      <c r="J476"/>
      <c r="K476"/>
      <c r="L476"/>
      <c r="M476"/>
      <c r="N476"/>
      <c r="O476"/>
      <c r="P476" s="72"/>
      <c r="Q476" s="72"/>
      <c r="R476" s="72"/>
      <c r="S476" s="72"/>
      <c r="T476" s="72"/>
      <c r="U476" s="72"/>
      <c r="V476" s="72"/>
      <c r="W476" s="72"/>
      <c r="X476" s="72"/>
      <c r="Y476" s="72"/>
      <c r="Z476" s="72"/>
      <c r="AA476" s="72"/>
    </row>
    <row r="477" spans="1:27" x14ac:dyDescent="0.35">
      <c r="A477"/>
      <c r="B477" s="97"/>
      <c r="C477"/>
      <c r="D477"/>
      <c r="E477" s="88"/>
      <c r="F477"/>
      <c r="G477"/>
      <c r="H477"/>
      <c r="I477"/>
      <c r="J477"/>
      <c r="K477"/>
      <c r="L477"/>
      <c r="M477"/>
      <c r="N477"/>
      <c r="O477"/>
      <c r="P477" s="72"/>
      <c r="Q477" s="72"/>
      <c r="R477" s="72"/>
      <c r="S477" s="72"/>
      <c r="T477" s="72"/>
      <c r="U477" s="72"/>
      <c r="V477" s="72"/>
      <c r="W477" s="72"/>
      <c r="X477" s="72"/>
      <c r="Y477" s="72"/>
      <c r="Z477" s="72"/>
      <c r="AA477" s="72"/>
    </row>
    <row r="478" spans="1:27" x14ac:dyDescent="0.35">
      <c r="A478"/>
      <c r="B478" s="97"/>
      <c r="C478"/>
      <c r="D478"/>
      <c r="E478" s="88"/>
      <c r="F478"/>
      <c r="G478"/>
      <c r="H478"/>
      <c r="I478"/>
      <c r="J478"/>
      <c r="K478"/>
      <c r="L478"/>
      <c r="M478"/>
      <c r="N478"/>
      <c r="O478"/>
      <c r="P478" s="72"/>
      <c r="Q478" s="72"/>
      <c r="R478" s="72"/>
      <c r="S478" s="72"/>
      <c r="T478" s="72"/>
      <c r="U478" s="72"/>
      <c r="V478" s="72"/>
      <c r="W478" s="72"/>
      <c r="X478" s="72"/>
      <c r="Y478" s="72"/>
      <c r="Z478" s="72"/>
      <c r="AA478" s="72"/>
    </row>
    <row r="479" spans="1:27" x14ac:dyDescent="0.35">
      <c r="A479"/>
      <c r="B479" s="97"/>
      <c r="C479"/>
      <c r="D479"/>
      <c r="E479" s="88"/>
      <c r="F479"/>
      <c r="G479"/>
      <c r="H479"/>
      <c r="I479"/>
      <c r="J479"/>
      <c r="K479"/>
      <c r="L479"/>
      <c r="M479"/>
      <c r="N479"/>
      <c r="O479"/>
      <c r="P479" s="72"/>
      <c r="Q479" s="72"/>
      <c r="R479" s="72"/>
      <c r="S479" s="72"/>
      <c r="T479" s="72"/>
      <c r="U479" s="72"/>
      <c r="V479" s="72"/>
      <c r="W479" s="72"/>
      <c r="X479" s="72"/>
      <c r="Y479" s="72"/>
      <c r="Z479" s="72"/>
      <c r="AA479" s="72"/>
    </row>
    <row r="480" spans="1:27" x14ac:dyDescent="0.35">
      <c r="A480"/>
      <c r="B480" s="97"/>
      <c r="C480"/>
      <c r="D480"/>
      <c r="E480" s="88"/>
      <c r="F480"/>
      <c r="G480"/>
      <c r="H480"/>
      <c r="I480"/>
      <c r="J480"/>
      <c r="K480"/>
      <c r="L480"/>
      <c r="M480"/>
      <c r="N480"/>
      <c r="O480"/>
      <c r="P480" s="72"/>
      <c r="Q480" s="72"/>
      <c r="R480" s="72"/>
      <c r="S480" s="72"/>
      <c r="T480" s="72"/>
      <c r="U480" s="72"/>
      <c r="V480" s="72"/>
      <c r="W480" s="72"/>
      <c r="X480" s="72"/>
      <c r="Y480" s="72"/>
      <c r="Z480" s="72"/>
      <c r="AA480" s="72"/>
    </row>
    <row r="481" spans="1:27" x14ac:dyDescent="0.35">
      <c r="A481"/>
      <c r="B481" s="97"/>
      <c r="C481"/>
      <c r="D481"/>
      <c r="E481" s="88"/>
      <c r="F481"/>
      <c r="G481"/>
      <c r="H481"/>
      <c r="I481"/>
      <c r="J481"/>
      <c r="K481"/>
      <c r="L481"/>
      <c r="M481"/>
      <c r="N481"/>
      <c r="O481"/>
      <c r="P481" s="72"/>
      <c r="Q481" s="72"/>
      <c r="R481" s="72"/>
      <c r="S481" s="72"/>
      <c r="T481" s="72"/>
      <c r="U481" s="72"/>
      <c r="V481" s="72"/>
      <c r="W481" s="72"/>
      <c r="X481" s="72"/>
      <c r="Y481" s="72"/>
      <c r="Z481" s="72"/>
      <c r="AA481" s="72"/>
    </row>
    <row r="482" spans="1:27" x14ac:dyDescent="0.35">
      <c r="A482"/>
      <c r="B482" s="97"/>
      <c r="C482"/>
      <c r="D482"/>
      <c r="E482" s="88"/>
      <c r="F482"/>
      <c r="G482"/>
      <c r="H482"/>
      <c r="I482"/>
      <c r="J482"/>
      <c r="K482"/>
      <c r="L482"/>
      <c r="M482"/>
      <c r="N482"/>
      <c r="O482"/>
      <c r="P482" s="72"/>
      <c r="Q482" s="72"/>
      <c r="R482" s="72"/>
      <c r="S482" s="72"/>
      <c r="T482" s="72"/>
      <c r="U482" s="72"/>
      <c r="V482" s="72"/>
      <c r="W482" s="72"/>
      <c r="X482" s="72"/>
      <c r="Y482" s="72"/>
      <c r="Z482" s="72"/>
      <c r="AA482" s="72"/>
    </row>
    <row r="483" spans="1:27" x14ac:dyDescent="0.35">
      <c r="A483"/>
      <c r="B483" s="97"/>
      <c r="C483"/>
      <c r="D483"/>
      <c r="E483" s="88"/>
      <c r="F483"/>
      <c r="G483"/>
      <c r="H483"/>
      <c r="I483"/>
      <c r="J483"/>
      <c r="K483"/>
      <c r="L483"/>
      <c r="M483"/>
      <c r="N483"/>
      <c r="O483"/>
      <c r="P483" s="72"/>
      <c r="Q483" s="72"/>
      <c r="R483" s="72"/>
      <c r="S483" s="72"/>
      <c r="T483" s="72"/>
      <c r="U483" s="72"/>
      <c r="V483" s="72"/>
      <c r="W483" s="72"/>
      <c r="X483" s="72"/>
      <c r="Y483" s="72"/>
      <c r="Z483" s="72"/>
      <c r="AA483" s="72"/>
    </row>
    <row r="484" spans="1:27" x14ac:dyDescent="0.35">
      <c r="A484"/>
      <c r="B484" s="97"/>
      <c r="C484"/>
      <c r="D484"/>
      <c r="E484" s="88"/>
      <c r="F484"/>
      <c r="G484"/>
      <c r="H484"/>
      <c r="I484"/>
      <c r="J484"/>
      <c r="K484"/>
      <c r="L484"/>
      <c r="M484"/>
      <c r="N484"/>
      <c r="O484"/>
      <c r="P484" s="72"/>
      <c r="Q484" s="72"/>
      <c r="R484" s="72"/>
      <c r="S484" s="72"/>
      <c r="T484" s="72"/>
      <c r="U484" s="72"/>
      <c r="V484" s="72"/>
      <c r="W484" s="72"/>
      <c r="X484" s="72"/>
      <c r="Y484" s="72"/>
      <c r="Z484" s="72"/>
      <c r="AA484" s="72"/>
    </row>
    <row r="485" spans="1:27" x14ac:dyDescent="0.35">
      <c r="A485"/>
      <c r="B485" s="97"/>
      <c r="C485"/>
      <c r="D485"/>
      <c r="E485" s="88"/>
      <c r="F485"/>
      <c r="G485"/>
      <c r="H485"/>
      <c r="I485"/>
      <c r="J485"/>
      <c r="K485"/>
      <c r="L485"/>
      <c r="M485"/>
      <c r="N485"/>
      <c r="O485"/>
      <c r="P485" s="72"/>
      <c r="Q485" s="72"/>
      <c r="R485" s="72"/>
      <c r="S485" s="72"/>
      <c r="T485" s="72"/>
      <c r="U485" s="72"/>
      <c r="V485" s="72"/>
      <c r="W485" s="72"/>
      <c r="X485" s="72"/>
      <c r="Y485" s="72"/>
      <c r="Z485" s="72"/>
      <c r="AA485" s="72"/>
    </row>
    <row r="486" spans="1:27" x14ac:dyDescent="0.35">
      <c r="A486"/>
      <c r="B486" s="97"/>
      <c r="C486"/>
      <c r="D486"/>
      <c r="E486" s="88"/>
      <c r="F486"/>
      <c r="G486"/>
      <c r="H486"/>
      <c r="I486"/>
      <c r="J486"/>
      <c r="K486"/>
      <c r="L486"/>
      <c r="M486"/>
      <c r="N486"/>
      <c r="O486"/>
      <c r="P486" s="72"/>
      <c r="Q486" s="72"/>
      <c r="R486" s="72"/>
      <c r="S486" s="72"/>
      <c r="T486" s="72"/>
      <c r="U486" s="72"/>
      <c r="V486" s="72"/>
      <c r="W486" s="72"/>
      <c r="X486" s="72"/>
      <c r="Y486" s="72"/>
      <c r="Z486" s="72"/>
      <c r="AA486" s="72"/>
    </row>
    <row r="487" spans="1:27" x14ac:dyDescent="0.35">
      <c r="A487"/>
      <c r="B487" s="97"/>
      <c r="C487"/>
      <c r="D487"/>
      <c r="E487" s="88"/>
      <c r="F487"/>
      <c r="G487"/>
      <c r="H487"/>
      <c r="I487"/>
      <c r="J487"/>
      <c r="K487"/>
      <c r="L487"/>
      <c r="M487"/>
      <c r="N487"/>
      <c r="O487"/>
      <c r="P487" s="72"/>
      <c r="Q487" s="72"/>
      <c r="R487" s="72"/>
      <c r="S487" s="72"/>
      <c r="T487" s="72"/>
      <c r="U487" s="72"/>
      <c r="V487" s="72"/>
      <c r="W487" s="72"/>
      <c r="X487" s="72"/>
      <c r="Y487" s="72"/>
      <c r="Z487" s="72"/>
      <c r="AA487" s="72"/>
    </row>
    <row r="488" spans="1:27" x14ac:dyDescent="0.35">
      <c r="A488"/>
      <c r="B488" s="97"/>
      <c r="C488"/>
      <c r="D488"/>
      <c r="E488" s="88"/>
      <c r="F488"/>
      <c r="G488"/>
      <c r="H488"/>
      <c r="I488"/>
      <c r="J488"/>
      <c r="K488"/>
      <c r="L488"/>
      <c r="M488"/>
      <c r="N488"/>
      <c r="O488"/>
      <c r="P488" s="72"/>
      <c r="Q488" s="72"/>
      <c r="R488" s="72"/>
      <c r="S488" s="72"/>
      <c r="T488" s="72"/>
      <c r="U488" s="72"/>
      <c r="V488" s="72"/>
      <c r="W488" s="72"/>
      <c r="X488" s="72"/>
      <c r="Y488" s="72"/>
      <c r="Z488" s="72"/>
      <c r="AA488" s="72"/>
    </row>
    <row r="489" spans="1:27" x14ac:dyDescent="0.35">
      <c r="A489"/>
      <c r="B489" s="97"/>
      <c r="C489"/>
      <c r="D489"/>
      <c r="E489" s="88"/>
      <c r="F489"/>
      <c r="G489"/>
      <c r="H489"/>
      <c r="I489"/>
      <c r="J489"/>
      <c r="K489"/>
      <c r="L489"/>
      <c r="M489"/>
      <c r="N489"/>
      <c r="O489"/>
      <c r="P489" s="72"/>
      <c r="Q489" s="72"/>
      <c r="R489" s="72"/>
      <c r="S489" s="72"/>
      <c r="T489" s="72"/>
      <c r="U489" s="72"/>
      <c r="V489" s="72"/>
      <c r="W489" s="72"/>
      <c r="X489" s="72"/>
      <c r="Y489" s="72"/>
      <c r="Z489" s="72"/>
      <c r="AA489" s="72"/>
    </row>
    <row r="490" spans="1:27" x14ac:dyDescent="0.35">
      <c r="A490"/>
      <c r="B490" s="97"/>
      <c r="C490"/>
      <c r="D490"/>
      <c r="E490" s="88"/>
      <c r="F490"/>
      <c r="G490"/>
      <c r="H490"/>
      <c r="I490"/>
      <c r="J490"/>
      <c r="K490"/>
      <c r="L490"/>
      <c r="M490"/>
      <c r="N490"/>
      <c r="O490"/>
      <c r="P490" s="72"/>
      <c r="Q490" s="72"/>
      <c r="R490" s="72"/>
      <c r="S490" s="72"/>
      <c r="T490" s="72"/>
      <c r="U490" s="72"/>
      <c r="V490" s="72"/>
      <c r="W490" s="72"/>
      <c r="X490" s="72"/>
      <c r="Y490" s="72"/>
      <c r="Z490" s="72"/>
      <c r="AA490" s="72"/>
    </row>
    <row r="491" spans="1:27" x14ac:dyDescent="0.35">
      <c r="A491"/>
      <c r="B491" s="97"/>
      <c r="C491"/>
      <c r="D491"/>
      <c r="E491" s="88"/>
      <c r="F491"/>
      <c r="G491"/>
      <c r="H491"/>
      <c r="I491"/>
      <c r="J491"/>
      <c r="K491"/>
      <c r="L491"/>
      <c r="M491"/>
      <c r="N491"/>
      <c r="O491"/>
      <c r="P491" s="72"/>
      <c r="Q491" s="72"/>
      <c r="R491" s="72"/>
      <c r="S491" s="72"/>
      <c r="T491" s="72"/>
      <c r="U491" s="72"/>
      <c r="V491" s="72"/>
      <c r="W491" s="72"/>
      <c r="X491" s="72"/>
      <c r="Y491" s="72"/>
      <c r="Z491" s="72"/>
      <c r="AA491" s="72"/>
    </row>
    <row r="492" spans="1:27" x14ac:dyDescent="0.35">
      <c r="A492"/>
      <c r="B492" s="97"/>
      <c r="C492"/>
      <c r="D492"/>
      <c r="E492" s="88"/>
      <c r="F492"/>
      <c r="G492"/>
      <c r="H492"/>
      <c r="I492"/>
      <c r="J492"/>
      <c r="K492"/>
      <c r="L492"/>
      <c r="M492"/>
      <c r="N492"/>
      <c r="O492"/>
      <c r="P492" s="72"/>
      <c r="Q492" s="72"/>
      <c r="R492" s="72"/>
      <c r="S492" s="72"/>
      <c r="T492" s="72"/>
      <c r="U492" s="72"/>
      <c r="V492" s="72"/>
      <c r="W492" s="72"/>
      <c r="X492" s="72"/>
      <c r="Y492" s="72"/>
      <c r="Z492" s="72"/>
      <c r="AA492" s="72"/>
    </row>
    <row r="493" spans="1:27" x14ac:dyDescent="0.35">
      <c r="A493"/>
      <c r="B493" s="97"/>
      <c r="C493"/>
      <c r="D493"/>
      <c r="E493" s="88"/>
      <c r="F493"/>
      <c r="G493"/>
      <c r="H493"/>
      <c r="I493"/>
      <c r="J493"/>
      <c r="K493"/>
      <c r="L493"/>
      <c r="M493"/>
      <c r="N493"/>
      <c r="O493"/>
      <c r="P493" s="72"/>
      <c r="Q493" s="72"/>
      <c r="R493" s="72"/>
      <c r="S493" s="72"/>
      <c r="T493" s="72"/>
      <c r="U493" s="72"/>
      <c r="V493" s="72"/>
      <c r="W493" s="72"/>
      <c r="X493" s="72"/>
      <c r="Y493" s="72"/>
      <c r="Z493" s="72"/>
      <c r="AA493" s="72"/>
    </row>
    <row r="494" spans="1:27" x14ac:dyDescent="0.35">
      <c r="A494"/>
      <c r="B494" s="97"/>
      <c r="C494"/>
      <c r="D494"/>
      <c r="E494" s="88"/>
      <c r="F494"/>
      <c r="G494"/>
      <c r="H494"/>
      <c r="I494"/>
      <c r="J494"/>
      <c r="K494"/>
      <c r="L494"/>
      <c r="M494"/>
      <c r="N494"/>
      <c r="O494"/>
      <c r="P494" s="72"/>
      <c r="Q494" s="72"/>
      <c r="R494" s="72"/>
      <c r="S494" s="72"/>
      <c r="T494" s="72"/>
      <c r="U494" s="72"/>
      <c r="V494" s="72"/>
      <c r="W494" s="72"/>
      <c r="X494" s="72"/>
      <c r="Y494" s="72"/>
      <c r="Z494" s="72"/>
      <c r="AA494" s="72"/>
    </row>
    <row r="495" spans="1:27" x14ac:dyDescent="0.35">
      <c r="A495"/>
      <c r="B495" s="97"/>
      <c r="C495"/>
      <c r="D495"/>
      <c r="E495" s="88"/>
      <c r="F495"/>
      <c r="G495"/>
      <c r="H495"/>
      <c r="I495"/>
      <c r="J495"/>
      <c r="K495"/>
      <c r="L495"/>
      <c r="M495"/>
      <c r="N495"/>
      <c r="O495"/>
      <c r="P495" s="72"/>
      <c r="Q495" s="72"/>
      <c r="R495" s="72"/>
      <c r="S495" s="72"/>
      <c r="T495" s="72"/>
      <c r="U495" s="72"/>
      <c r="V495" s="72"/>
      <c r="W495" s="72"/>
      <c r="X495" s="72"/>
      <c r="Y495" s="72"/>
      <c r="Z495" s="72"/>
      <c r="AA495" s="72"/>
    </row>
    <row r="496" spans="1:27" x14ac:dyDescent="0.35">
      <c r="A496"/>
      <c r="B496" s="97"/>
      <c r="C496"/>
      <c r="D496"/>
      <c r="E496" s="88"/>
      <c r="F496"/>
      <c r="G496"/>
      <c r="H496"/>
      <c r="I496"/>
      <c r="J496"/>
      <c r="K496"/>
      <c r="L496"/>
      <c r="M496"/>
      <c r="N496"/>
      <c r="O496"/>
      <c r="P496" s="72"/>
      <c r="Q496" s="72"/>
      <c r="R496" s="72"/>
      <c r="S496" s="72"/>
      <c r="T496" s="72"/>
      <c r="U496" s="72"/>
      <c r="V496" s="72"/>
      <c r="W496" s="72"/>
      <c r="X496" s="72"/>
      <c r="Y496" s="72"/>
      <c r="Z496" s="72"/>
      <c r="AA496" s="72"/>
    </row>
    <row r="497" spans="1:27" x14ac:dyDescent="0.35">
      <c r="A497"/>
      <c r="B497" s="97"/>
      <c r="C497"/>
      <c r="D497"/>
      <c r="E497" s="88"/>
      <c r="F497"/>
      <c r="G497"/>
      <c r="H497"/>
      <c r="I497"/>
      <c r="J497"/>
      <c r="K497"/>
      <c r="L497"/>
      <c r="M497"/>
      <c r="N497"/>
      <c r="O497"/>
      <c r="P497" s="72"/>
      <c r="Q497" s="72"/>
      <c r="R497" s="72"/>
      <c r="S497" s="72"/>
      <c r="T497" s="72"/>
      <c r="U497" s="72"/>
      <c r="V497" s="72"/>
      <c r="W497" s="72"/>
      <c r="X497" s="72"/>
      <c r="Y497" s="72"/>
      <c r="Z497" s="72"/>
      <c r="AA497" s="72"/>
    </row>
    <row r="498" spans="1:27" x14ac:dyDescent="0.35">
      <c r="A498"/>
      <c r="B498" s="97"/>
      <c r="C498"/>
      <c r="D498"/>
      <c r="E498" s="88"/>
      <c r="F498"/>
      <c r="G498"/>
      <c r="H498"/>
      <c r="I498"/>
      <c r="J498"/>
      <c r="K498"/>
      <c r="L498"/>
      <c r="M498"/>
      <c r="N498"/>
      <c r="O498"/>
      <c r="P498" s="72"/>
      <c r="Q498" s="72"/>
      <c r="R498" s="72"/>
      <c r="S498" s="72"/>
      <c r="T498" s="72"/>
      <c r="U498" s="72"/>
      <c r="V498" s="72"/>
      <c r="W498" s="72"/>
      <c r="X498" s="72"/>
      <c r="Y498" s="72"/>
      <c r="Z498" s="72"/>
      <c r="AA498" s="72"/>
    </row>
    <row r="499" spans="1:27" x14ac:dyDescent="0.35">
      <c r="A499"/>
      <c r="B499" s="97"/>
      <c r="C499"/>
      <c r="D499"/>
      <c r="E499" s="88"/>
      <c r="F499"/>
      <c r="G499"/>
      <c r="H499"/>
      <c r="I499"/>
      <c r="J499"/>
      <c r="K499"/>
      <c r="L499"/>
      <c r="M499"/>
      <c r="N499"/>
      <c r="O499"/>
      <c r="P499" s="72"/>
      <c r="Q499" s="72"/>
      <c r="R499" s="72"/>
      <c r="S499" s="72"/>
      <c r="T499" s="72"/>
      <c r="U499" s="72"/>
      <c r="V499" s="72"/>
      <c r="W499" s="72"/>
      <c r="X499" s="72"/>
      <c r="Y499" s="72"/>
      <c r="Z499" s="72"/>
      <c r="AA499" s="72"/>
    </row>
    <row r="500" spans="1:27" x14ac:dyDescent="0.35">
      <c r="A500"/>
      <c r="B500" s="97"/>
      <c r="C500"/>
      <c r="D500"/>
      <c r="E500" s="88"/>
      <c r="F500"/>
      <c r="G500"/>
      <c r="H500"/>
      <c r="I500"/>
      <c r="J500"/>
      <c r="K500"/>
      <c r="L500"/>
      <c r="M500"/>
      <c r="N500"/>
      <c r="O500"/>
      <c r="P500" s="72"/>
      <c r="Q500" s="72"/>
      <c r="R500" s="72"/>
      <c r="S500" s="72"/>
      <c r="T500" s="72"/>
      <c r="U500" s="72"/>
      <c r="V500" s="72"/>
      <c r="W500" s="72"/>
      <c r="X500" s="72"/>
      <c r="Y500" s="72"/>
      <c r="Z500" s="72"/>
      <c r="AA500" s="72"/>
    </row>
    <row r="501" spans="1:27" x14ac:dyDescent="0.35">
      <c r="A501"/>
      <c r="B501" s="97"/>
      <c r="C501"/>
      <c r="D501"/>
      <c r="E501" s="88"/>
      <c r="F501"/>
      <c r="G501"/>
      <c r="H501"/>
      <c r="I501"/>
      <c r="J501"/>
      <c r="K501"/>
      <c r="L501"/>
      <c r="M501"/>
      <c r="N501"/>
      <c r="O501"/>
      <c r="P501" s="72"/>
      <c r="Q501" s="72"/>
      <c r="R501" s="72"/>
      <c r="S501" s="72"/>
      <c r="T501" s="72"/>
      <c r="U501" s="72"/>
      <c r="V501" s="72"/>
      <c r="W501" s="72"/>
      <c r="X501" s="72"/>
      <c r="Y501" s="72"/>
      <c r="Z501" s="72"/>
      <c r="AA501" s="72"/>
    </row>
    <row r="502" spans="1:27" x14ac:dyDescent="0.35">
      <c r="A502"/>
      <c r="B502" s="97"/>
      <c r="C502"/>
      <c r="D502"/>
      <c r="E502" s="88"/>
      <c r="F502"/>
      <c r="G502"/>
      <c r="H502"/>
      <c r="I502"/>
      <c r="J502"/>
      <c r="K502"/>
      <c r="L502"/>
      <c r="M502"/>
      <c r="N502"/>
      <c r="O502"/>
      <c r="P502" s="72"/>
      <c r="Q502" s="72"/>
      <c r="R502" s="72"/>
      <c r="S502" s="72"/>
      <c r="T502" s="72"/>
      <c r="U502" s="72"/>
      <c r="V502" s="72"/>
      <c r="W502" s="72"/>
      <c r="X502" s="72"/>
      <c r="Y502" s="72"/>
      <c r="Z502" s="72"/>
      <c r="AA502" s="72"/>
    </row>
    <row r="503" spans="1:27" x14ac:dyDescent="0.35">
      <c r="A503"/>
      <c r="B503" s="97"/>
      <c r="C503"/>
      <c r="D503"/>
      <c r="E503" s="88"/>
      <c r="F503"/>
      <c r="G503"/>
      <c r="H503"/>
      <c r="I503"/>
      <c r="J503"/>
      <c r="K503"/>
      <c r="L503"/>
      <c r="M503"/>
      <c r="N503"/>
      <c r="O503"/>
      <c r="P503" s="72"/>
      <c r="Q503" s="72"/>
      <c r="R503" s="72"/>
      <c r="S503" s="72"/>
      <c r="T503" s="72"/>
      <c r="U503" s="72"/>
      <c r="V503" s="72"/>
      <c r="W503" s="72"/>
      <c r="X503" s="72"/>
      <c r="Y503" s="72"/>
      <c r="Z503" s="72"/>
      <c r="AA503" s="72"/>
    </row>
    <row r="504" spans="1:27" x14ac:dyDescent="0.35">
      <c r="A504"/>
      <c r="B504" s="97"/>
      <c r="C504"/>
      <c r="D504"/>
      <c r="E504" s="88"/>
      <c r="F504"/>
      <c r="G504"/>
      <c r="H504"/>
      <c r="I504"/>
      <c r="J504"/>
      <c r="K504"/>
      <c r="L504"/>
      <c r="M504"/>
      <c r="N504"/>
      <c r="O504"/>
      <c r="P504" s="72"/>
      <c r="Q504" s="72"/>
      <c r="R504" s="72"/>
      <c r="S504" s="72"/>
      <c r="T504" s="72"/>
      <c r="U504" s="72"/>
      <c r="V504" s="72"/>
      <c r="W504" s="72"/>
      <c r="X504" s="72"/>
      <c r="Y504" s="72"/>
      <c r="Z504" s="72"/>
      <c r="AA504" s="72"/>
    </row>
    <row r="505" spans="1:27" x14ac:dyDescent="0.35">
      <c r="A505"/>
      <c r="B505" s="97"/>
      <c r="C505"/>
      <c r="D505"/>
      <c r="E505" s="88"/>
      <c r="F505"/>
      <c r="G505"/>
      <c r="H505"/>
      <c r="I505"/>
      <c r="J505"/>
      <c r="K505"/>
      <c r="L505"/>
      <c r="M505"/>
      <c r="N505"/>
      <c r="O505"/>
      <c r="P505" s="72"/>
      <c r="Q505" s="72"/>
      <c r="R505" s="72"/>
      <c r="S505" s="72"/>
      <c r="T505" s="72"/>
      <c r="U505" s="72"/>
      <c r="V505" s="72"/>
      <c r="W505" s="72"/>
      <c r="X505" s="72"/>
      <c r="Y505" s="72"/>
      <c r="Z505" s="72"/>
      <c r="AA505" s="72"/>
    </row>
    <row r="506" spans="1:27" x14ac:dyDescent="0.35">
      <c r="A506"/>
      <c r="B506" s="97"/>
      <c r="C506"/>
      <c r="D506"/>
      <c r="E506" s="88"/>
      <c r="F506"/>
      <c r="G506"/>
      <c r="H506"/>
      <c r="I506"/>
      <c r="J506"/>
      <c r="K506"/>
      <c r="L506"/>
      <c r="M506"/>
      <c r="N506"/>
      <c r="O506"/>
      <c r="P506" s="72"/>
      <c r="Q506" s="72"/>
      <c r="R506" s="72"/>
      <c r="S506" s="72"/>
      <c r="T506" s="72"/>
      <c r="U506" s="72"/>
      <c r="V506" s="72"/>
      <c r="W506" s="72"/>
      <c r="X506" s="72"/>
      <c r="Y506" s="72"/>
      <c r="Z506" s="72"/>
      <c r="AA506" s="72"/>
    </row>
    <row r="507" spans="1:27" x14ac:dyDescent="0.35">
      <c r="A507"/>
      <c r="B507" s="97"/>
      <c r="C507"/>
      <c r="D507"/>
      <c r="E507" s="88"/>
      <c r="F507"/>
      <c r="G507"/>
      <c r="H507"/>
      <c r="I507"/>
      <c r="J507"/>
      <c r="K507"/>
      <c r="L507"/>
      <c r="M507"/>
      <c r="N507"/>
      <c r="O507"/>
      <c r="P507" s="72"/>
      <c r="Q507" s="72"/>
      <c r="R507" s="72"/>
      <c r="S507" s="72"/>
      <c r="T507" s="72"/>
      <c r="U507" s="72"/>
      <c r="V507" s="72"/>
      <c r="W507" s="72"/>
      <c r="X507" s="72"/>
      <c r="Y507" s="72"/>
      <c r="Z507" s="72"/>
      <c r="AA507" s="72"/>
    </row>
    <row r="508" spans="1:27" x14ac:dyDescent="0.35">
      <c r="A508"/>
      <c r="B508" s="97"/>
      <c r="C508"/>
      <c r="D508"/>
      <c r="E508" s="88"/>
      <c r="F508"/>
      <c r="G508"/>
      <c r="H508"/>
      <c r="I508"/>
      <c r="J508"/>
      <c r="K508"/>
      <c r="L508"/>
      <c r="M508"/>
      <c r="N508"/>
      <c r="O508"/>
      <c r="P508" s="72"/>
      <c r="Q508" s="72"/>
      <c r="R508" s="72"/>
      <c r="S508" s="72"/>
      <c r="T508" s="72"/>
      <c r="U508" s="72"/>
      <c r="V508" s="72"/>
      <c r="W508" s="72"/>
      <c r="X508" s="72"/>
      <c r="Y508" s="72"/>
      <c r="Z508" s="72"/>
      <c r="AA508" s="72"/>
    </row>
    <row r="509" spans="1:27" x14ac:dyDescent="0.35">
      <c r="A509"/>
      <c r="B509" s="97"/>
      <c r="C509"/>
      <c r="D509"/>
      <c r="E509" s="88"/>
      <c r="F509"/>
      <c r="G509"/>
      <c r="H509"/>
      <c r="I509"/>
      <c r="J509"/>
      <c r="K509"/>
      <c r="L509"/>
      <c r="M509"/>
      <c r="N509"/>
      <c r="O509"/>
      <c r="P509" s="72"/>
      <c r="Q509" s="72"/>
      <c r="R509" s="72"/>
      <c r="S509" s="72"/>
      <c r="T509" s="72"/>
      <c r="U509" s="72"/>
      <c r="V509" s="72"/>
      <c r="W509" s="72"/>
      <c r="X509" s="72"/>
      <c r="Y509" s="72"/>
      <c r="Z509" s="72"/>
      <c r="AA509" s="72"/>
    </row>
    <row r="510" spans="1:27" x14ac:dyDescent="0.35">
      <c r="A510"/>
      <c r="B510" s="97"/>
      <c r="C510"/>
      <c r="D510"/>
      <c r="E510" s="88"/>
      <c r="F510"/>
      <c r="G510"/>
      <c r="H510"/>
      <c r="I510"/>
      <c r="J510"/>
      <c r="K510"/>
      <c r="L510"/>
      <c r="M510"/>
      <c r="N510"/>
      <c r="O510"/>
      <c r="P510" s="72"/>
      <c r="Q510" s="72"/>
      <c r="R510" s="72"/>
      <c r="S510" s="72"/>
      <c r="T510" s="72"/>
      <c r="U510" s="72"/>
      <c r="V510" s="72"/>
      <c r="W510" s="72"/>
      <c r="X510" s="72"/>
      <c r="Y510" s="72"/>
      <c r="Z510" s="72"/>
      <c r="AA510" s="72"/>
    </row>
    <row r="511" spans="1:27" x14ac:dyDescent="0.35">
      <c r="A511"/>
      <c r="B511" s="97"/>
      <c r="C511"/>
      <c r="D511"/>
      <c r="E511" s="88"/>
      <c r="F511"/>
      <c r="G511"/>
      <c r="H511"/>
      <c r="I511"/>
      <c r="J511"/>
      <c r="K511"/>
      <c r="L511"/>
      <c r="M511"/>
      <c r="N511"/>
      <c r="O511"/>
      <c r="P511" s="72"/>
      <c r="Q511" s="72"/>
      <c r="R511" s="72"/>
      <c r="S511" s="72"/>
      <c r="T511" s="72"/>
      <c r="U511" s="72"/>
      <c r="V511" s="72"/>
      <c r="W511" s="72"/>
      <c r="X511" s="72"/>
      <c r="Y511" s="72"/>
      <c r="Z511" s="72"/>
      <c r="AA511" s="72"/>
    </row>
    <row r="512" spans="1:27" x14ac:dyDescent="0.35">
      <c r="A512"/>
      <c r="B512" s="97"/>
      <c r="C512"/>
      <c r="D512"/>
      <c r="E512" s="88"/>
      <c r="F512"/>
      <c r="G512"/>
      <c r="H512"/>
      <c r="I512"/>
      <c r="J512"/>
      <c r="K512"/>
      <c r="L512"/>
      <c r="M512"/>
      <c r="N512"/>
      <c r="O512"/>
      <c r="P512" s="72"/>
      <c r="Q512" s="72"/>
      <c r="R512" s="72"/>
      <c r="S512" s="72"/>
      <c r="T512" s="72"/>
      <c r="U512" s="72"/>
      <c r="V512" s="72"/>
      <c r="W512" s="72"/>
      <c r="X512" s="72"/>
      <c r="Y512" s="72"/>
      <c r="Z512" s="72"/>
      <c r="AA512" s="72"/>
    </row>
    <row r="513" spans="1:27" x14ac:dyDescent="0.35">
      <c r="A513"/>
      <c r="B513" s="97"/>
      <c r="C513"/>
      <c r="D513"/>
      <c r="E513" s="88"/>
      <c r="F513"/>
      <c r="G513"/>
      <c r="H513"/>
      <c r="I513"/>
      <c r="J513"/>
      <c r="K513"/>
      <c r="L513"/>
      <c r="M513"/>
      <c r="N513"/>
      <c r="O513"/>
      <c r="P513" s="72"/>
      <c r="Q513" s="72"/>
      <c r="R513" s="72"/>
      <c r="S513" s="72"/>
      <c r="T513" s="72"/>
      <c r="U513" s="72"/>
      <c r="V513" s="72"/>
      <c r="W513" s="72"/>
      <c r="X513" s="72"/>
      <c r="Y513" s="72"/>
      <c r="Z513" s="72"/>
      <c r="AA513" s="72"/>
    </row>
    <row r="514" spans="1:27" x14ac:dyDescent="0.35">
      <c r="A514"/>
      <c r="B514" s="97"/>
      <c r="C514"/>
      <c r="D514"/>
      <c r="E514" s="88"/>
      <c r="F514"/>
      <c r="G514"/>
      <c r="H514"/>
      <c r="I514"/>
      <c r="J514"/>
      <c r="K514"/>
      <c r="L514"/>
      <c r="M514"/>
      <c r="N514"/>
      <c r="O514"/>
      <c r="P514" s="72"/>
      <c r="Q514" s="72"/>
      <c r="R514" s="72"/>
      <c r="S514" s="72"/>
      <c r="T514" s="72"/>
      <c r="U514" s="72"/>
      <c r="V514" s="72"/>
      <c r="W514" s="72"/>
      <c r="X514" s="72"/>
      <c r="Y514" s="72"/>
      <c r="Z514" s="72"/>
      <c r="AA514" s="72"/>
    </row>
    <row r="515" spans="1:27" x14ac:dyDescent="0.35">
      <c r="A515"/>
      <c r="B515" s="97"/>
      <c r="C515"/>
      <c r="D515"/>
      <c r="E515" s="88"/>
      <c r="F515"/>
      <c r="G515"/>
      <c r="H515"/>
      <c r="I515"/>
      <c r="J515"/>
      <c r="K515"/>
      <c r="L515"/>
      <c r="M515"/>
      <c r="N515"/>
      <c r="O515"/>
      <c r="P515" s="72"/>
      <c r="Q515" s="72"/>
      <c r="R515" s="72"/>
      <c r="S515" s="72"/>
      <c r="T515" s="72"/>
      <c r="U515" s="72"/>
      <c r="V515" s="72"/>
      <c r="W515" s="72"/>
      <c r="X515" s="72"/>
      <c r="Y515" s="72"/>
      <c r="Z515" s="72"/>
      <c r="AA515" s="72"/>
    </row>
    <row r="516" spans="1:27" x14ac:dyDescent="0.35">
      <c r="A516"/>
      <c r="B516" s="97"/>
      <c r="C516"/>
      <c r="D516"/>
      <c r="E516" s="88"/>
      <c r="F516"/>
      <c r="G516"/>
      <c r="H516"/>
      <c r="I516"/>
      <c r="J516"/>
      <c r="K516"/>
      <c r="L516"/>
      <c r="M516"/>
      <c r="N516"/>
      <c r="O516"/>
      <c r="P516" s="72"/>
      <c r="Q516" s="72"/>
      <c r="R516" s="72"/>
      <c r="S516" s="72"/>
      <c r="T516" s="72"/>
      <c r="U516" s="72"/>
      <c r="V516" s="72"/>
      <c r="W516" s="72"/>
      <c r="X516" s="72"/>
      <c r="Y516" s="72"/>
      <c r="Z516" s="72"/>
      <c r="AA516" s="72"/>
    </row>
    <row r="517" spans="1:27" x14ac:dyDescent="0.35">
      <c r="A517"/>
      <c r="B517" s="97"/>
      <c r="C517"/>
      <c r="D517"/>
      <c r="E517" s="88"/>
      <c r="F517"/>
      <c r="G517"/>
      <c r="H517"/>
      <c r="I517"/>
      <c r="J517"/>
      <c r="K517"/>
      <c r="L517"/>
      <c r="M517"/>
      <c r="N517"/>
      <c r="O517"/>
      <c r="P517" s="72"/>
      <c r="Q517" s="72"/>
      <c r="R517" s="72"/>
      <c r="S517" s="72"/>
      <c r="T517" s="72"/>
      <c r="U517" s="72"/>
      <c r="V517" s="72"/>
      <c r="W517" s="72"/>
      <c r="X517" s="72"/>
      <c r="Y517" s="72"/>
      <c r="Z517" s="72"/>
      <c r="AA517" s="72"/>
    </row>
    <row r="518" spans="1:27" x14ac:dyDescent="0.35">
      <c r="A518"/>
      <c r="B518" s="97"/>
      <c r="C518"/>
      <c r="D518"/>
      <c r="E518" s="88"/>
      <c r="F518"/>
      <c r="G518"/>
      <c r="H518"/>
      <c r="I518"/>
      <c r="J518"/>
      <c r="K518"/>
      <c r="L518"/>
      <c r="M518"/>
      <c r="N518"/>
      <c r="O518"/>
      <c r="P518" s="72"/>
      <c r="Q518" s="72"/>
      <c r="R518" s="72"/>
      <c r="S518" s="72"/>
      <c r="T518" s="72"/>
      <c r="U518" s="72"/>
      <c r="V518" s="72"/>
      <c r="W518" s="72"/>
      <c r="X518" s="72"/>
      <c r="Y518" s="72"/>
      <c r="Z518" s="72"/>
      <c r="AA518" s="72"/>
    </row>
    <row r="519" spans="1:27" x14ac:dyDescent="0.35">
      <c r="A519"/>
      <c r="B519" s="97"/>
      <c r="C519"/>
      <c r="D519"/>
      <c r="E519" s="88"/>
      <c r="F519"/>
      <c r="G519"/>
      <c r="H519"/>
      <c r="I519"/>
      <c r="J519"/>
      <c r="K519"/>
      <c r="L519"/>
      <c r="M519"/>
      <c r="N519"/>
      <c r="O519"/>
      <c r="P519" s="72"/>
      <c r="Q519" s="72"/>
      <c r="R519" s="72"/>
      <c r="S519" s="72"/>
      <c r="T519" s="72"/>
      <c r="U519" s="72"/>
      <c r="V519" s="72"/>
      <c r="W519" s="72"/>
      <c r="X519" s="72"/>
      <c r="Y519" s="72"/>
      <c r="Z519" s="72"/>
      <c r="AA519" s="72"/>
    </row>
    <row r="520" spans="1:27" x14ac:dyDescent="0.35">
      <c r="A520"/>
      <c r="B520" s="97"/>
      <c r="C520"/>
      <c r="D520"/>
      <c r="E520" s="88"/>
      <c r="F520"/>
      <c r="G520"/>
      <c r="H520"/>
      <c r="I520"/>
      <c r="J520"/>
      <c r="K520"/>
      <c r="L520"/>
      <c r="M520"/>
      <c r="N520"/>
      <c r="O520"/>
      <c r="P520" s="72"/>
      <c r="Q520" s="72"/>
      <c r="R520" s="72"/>
      <c r="S520" s="72"/>
      <c r="T520" s="72"/>
      <c r="U520" s="72"/>
      <c r="V520" s="72"/>
      <c r="W520" s="72"/>
      <c r="X520" s="72"/>
      <c r="Y520" s="72"/>
      <c r="Z520" s="72"/>
      <c r="AA520" s="72"/>
    </row>
    <row r="521" spans="1:27" x14ac:dyDescent="0.35">
      <c r="A521"/>
      <c r="B521" s="97"/>
      <c r="C521"/>
      <c r="D521"/>
      <c r="E521" s="88"/>
      <c r="F521"/>
      <c r="G521"/>
      <c r="H521"/>
      <c r="I521"/>
      <c r="J521"/>
      <c r="K521"/>
      <c r="L521"/>
      <c r="M521"/>
      <c r="N521"/>
      <c r="O521"/>
      <c r="P521" s="72"/>
      <c r="Q521" s="72"/>
      <c r="R521" s="72"/>
      <c r="S521" s="72"/>
      <c r="T521" s="72"/>
      <c r="U521" s="72"/>
      <c r="V521" s="72"/>
      <c r="W521" s="72"/>
      <c r="X521" s="72"/>
      <c r="Y521" s="72"/>
      <c r="Z521" s="72"/>
      <c r="AA521" s="72"/>
    </row>
    <row r="522" spans="1:27" x14ac:dyDescent="0.35">
      <c r="A522"/>
      <c r="B522" s="97"/>
      <c r="C522"/>
      <c r="D522"/>
      <c r="E522" s="88"/>
      <c r="F522"/>
      <c r="G522"/>
      <c r="H522"/>
      <c r="I522"/>
      <c r="J522"/>
      <c r="K522"/>
      <c r="L522"/>
      <c r="M522"/>
      <c r="N522"/>
      <c r="O522"/>
      <c r="P522" s="72"/>
      <c r="Q522" s="72"/>
      <c r="R522" s="72"/>
      <c r="S522" s="72"/>
      <c r="T522" s="72"/>
      <c r="U522" s="72"/>
      <c r="V522" s="72"/>
      <c r="W522" s="72"/>
      <c r="X522" s="72"/>
      <c r="Y522" s="72"/>
      <c r="Z522" s="72"/>
      <c r="AA522" s="72"/>
    </row>
    <row r="523" spans="1:27" x14ac:dyDescent="0.35">
      <c r="A523"/>
      <c r="B523" s="97"/>
      <c r="C523"/>
      <c r="D523"/>
      <c r="E523" s="88"/>
      <c r="F523"/>
      <c r="G523"/>
      <c r="H523"/>
      <c r="I523"/>
      <c r="J523"/>
      <c r="K523"/>
      <c r="L523"/>
      <c r="M523"/>
      <c r="N523"/>
      <c r="O523"/>
      <c r="P523" s="72"/>
      <c r="Q523" s="72"/>
      <c r="R523" s="72"/>
      <c r="S523" s="72"/>
      <c r="T523" s="72"/>
      <c r="U523" s="72"/>
      <c r="V523" s="72"/>
      <c r="W523" s="72"/>
      <c r="X523" s="72"/>
      <c r="Y523" s="72"/>
      <c r="Z523" s="72"/>
      <c r="AA523" s="72"/>
    </row>
    <row r="524" spans="1:27" x14ac:dyDescent="0.35">
      <c r="A524"/>
      <c r="B524" s="97"/>
      <c r="C524"/>
      <c r="D524"/>
      <c r="E524" s="88"/>
      <c r="F524"/>
      <c r="G524"/>
      <c r="H524"/>
      <c r="I524"/>
      <c r="J524"/>
      <c r="K524"/>
      <c r="L524"/>
      <c r="M524"/>
      <c r="N524"/>
      <c r="O524"/>
      <c r="P524" s="72"/>
      <c r="Q524" s="72"/>
      <c r="R524" s="72"/>
      <c r="S524" s="72"/>
      <c r="T524" s="72"/>
      <c r="U524" s="72"/>
      <c r="V524" s="72"/>
      <c r="W524" s="72"/>
      <c r="X524" s="72"/>
      <c r="Y524" s="72"/>
      <c r="Z524" s="72"/>
      <c r="AA524" s="72"/>
    </row>
    <row r="525" spans="1:27" x14ac:dyDescent="0.35">
      <c r="A525"/>
      <c r="B525" s="97"/>
      <c r="C525"/>
      <c r="D525"/>
      <c r="E525" s="88"/>
      <c r="F525"/>
      <c r="G525"/>
      <c r="H525"/>
      <c r="I525"/>
      <c r="J525"/>
      <c r="K525"/>
      <c r="L525"/>
      <c r="M525"/>
      <c r="N525"/>
      <c r="O525"/>
      <c r="P525" s="72"/>
      <c r="Q525" s="72"/>
      <c r="R525" s="72"/>
      <c r="S525" s="72"/>
      <c r="T525" s="72"/>
      <c r="U525" s="72"/>
      <c r="V525" s="72"/>
      <c r="W525" s="72"/>
      <c r="X525" s="72"/>
      <c r="Y525" s="72"/>
      <c r="Z525" s="72"/>
      <c r="AA525" s="72"/>
    </row>
    <row r="526" spans="1:27" x14ac:dyDescent="0.35">
      <c r="A526"/>
      <c r="B526" s="97"/>
      <c r="C526"/>
      <c r="D526"/>
      <c r="E526" s="88"/>
      <c r="F526"/>
      <c r="G526"/>
      <c r="H526"/>
      <c r="I526"/>
      <c r="J526"/>
      <c r="K526"/>
      <c r="L526"/>
      <c r="M526"/>
      <c r="N526"/>
      <c r="O526"/>
      <c r="P526" s="72"/>
      <c r="Q526" s="72"/>
      <c r="R526" s="72"/>
      <c r="S526" s="72"/>
      <c r="T526" s="72"/>
      <c r="U526" s="72"/>
      <c r="V526" s="72"/>
      <c r="W526" s="72"/>
      <c r="X526" s="72"/>
      <c r="Y526" s="72"/>
      <c r="Z526" s="72"/>
      <c r="AA526" s="72"/>
    </row>
    <row r="527" spans="1:27" x14ac:dyDescent="0.35">
      <c r="A527"/>
      <c r="B527" s="97"/>
      <c r="C527"/>
      <c r="D527"/>
      <c r="E527" s="88"/>
      <c r="F527"/>
      <c r="G527"/>
      <c r="H527"/>
      <c r="I527"/>
      <c r="J527"/>
      <c r="K527"/>
      <c r="L527"/>
      <c r="M527"/>
      <c r="N527"/>
      <c r="O527"/>
      <c r="P527" s="72"/>
      <c r="Q527" s="72"/>
      <c r="R527" s="72"/>
      <c r="S527" s="72"/>
      <c r="T527" s="72"/>
      <c r="U527" s="72"/>
      <c r="V527" s="72"/>
      <c r="W527" s="72"/>
      <c r="X527" s="72"/>
      <c r="Y527" s="72"/>
      <c r="Z527" s="72"/>
      <c r="AA527" s="72"/>
    </row>
    <row r="528" spans="1:27" x14ac:dyDescent="0.35">
      <c r="A528"/>
      <c r="B528" s="97"/>
      <c r="C528"/>
      <c r="D528"/>
      <c r="E528" s="88"/>
      <c r="F528"/>
      <c r="G528"/>
      <c r="H528"/>
      <c r="I528"/>
      <c r="J528"/>
      <c r="K528"/>
      <c r="L528"/>
      <c r="M528"/>
      <c r="N528"/>
      <c r="O528"/>
      <c r="P528" s="72"/>
      <c r="Q528" s="72"/>
      <c r="R528" s="72"/>
      <c r="S528" s="72"/>
      <c r="T528" s="72"/>
      <c r="U528" s="72"/>
      <c r="V528" s="72"/>
      <c r="W528" s="72"/>
      <c r="X528" s="72"/>
      <c r="Y528" s="72"/>
      <c r="Z528" s="72"/>
      <c r="AA528" s="72"/>
    </row>
    <row r="529" spans="1:27" x14ac:dyDescent="0.35">
      <c r="A529"/>
      <c r="B529" s="97"/>
      <c r="C529"/>
      <c r="D529"/>
      <c r="E529" s="88"/>
      <c r="F529"/>
      <c r="G529"/>
      <c r="H529"/>
      <c r="I529"/>
      <c r="J529"/>
      <c r="K529"/>
      <c r="L529"/>
      <c r="M529"/>
      <c r="N529"/>
      <c r="O529"/>
      <c r="P529" s="72"/>
      <c r="Q529" s="72"/>
      <c r="R529" s="72"/>
      <c r="S529" s="72"/>
      <c r="T529" s="72"/>
      <c r="U529" s="72"/>
      <c r="V529" s="72"/>
      <c r="W529" s="72"/>
      <c r="X529" s="72"/>
      <c r="Y529" s="72"/>
      <c r="Z529" s="72"/>
      <c r="AA529" s="72"/>
    </row>
    <row r="530" spans="1:27" x14ac:dyDescent="0.35">
      <c r="A530"/>
      <c r="B530" s="97"/>
      <c r="C530"/>
      <c r="D530"/>
      <c r="E530" s="88"/>
      <c r="F530"/>
      <c r="G530"/>
      <c r="H530"/>
      <c r="I530"/>
      <c r="J530"/>
      <c r="K530"/>
      <c r="L530"/>
      <c r="M530"/>
      <c r="N530"/>
      <c r="O530"/>
      <c r="P530" s="72"/>
      <c r="Q530" s="72"/>
      <c r="R530" s="72"/>
      <c r="S530" s="72"/>
      <c r="T530" s="72"/>
      <c r="U530" s="72"/>
      <c r="V530" s="72"/>
      <c r="W530" s="72"/>
      <c r="X530" s="72"/>
      <c r="Y530" s="72"/>
      <c r="Z530" s="72"/>
      <c r="AA530" s="72"/>
    </row>
    <row r="531" spans="1:27" x14ac:dyDescent="0.35">
      <c r="A531"/>
      <c r="B531" s="97"/>
      <c r="C531"/>
      <c r="D531"/>
      <c r="E531" s="88"/>
      <c r="F531"/>
      <c r="G531"/>
      <c r="H531"/>
      <c r="I531"/>
      <c r="J531"/>
      <c r="K531"/>
      <c r="L531"/>
      <c r="M531"/>
      <c r="N531"/>
      <c r="O531"/>
      <c r="P531" s="72"/>
      <c r="Q531" s="72"/>
      <c r="R531" s="72"/>
      <c r="S531" s="72"/>
      <c r="T531" s="72"/>
      <c r="U531" s="72"/>
      <c r="V531" s="72"/>
      <c r="W531" s="72"/>
      <c r="X531" s="72"/>
      <c r="Y531" s="72"/>
      <c r="Z531" s="72"/>
      <c r="AA531" s="72"/>
    </row>
    <row r="532" spans="1:27" x14ac:dyDescent="0.35">
      <c r="A532"/>
      <c r="B532" s="97"/>
      <c r="C532"/>
      <c r="D532"/>
      <c r="E532" s="88"/>
      <c r="F532"/>
      <c r="G532"/>
      <c r="H532"/>
      <c r="I532"/>
      <c r="J532"/>
      <c r="K532"/>
      <c r="L532"/>
      <c r="M532"/>
      <c r="N532"/>
      <c r="O532"/>
      <c r="P532" s="72"/>
      <c r="Q532" s="72"/>
      <c r="R532" s="72"/>
      <c r="S532" s="72"/>
      <c r="T532" s="72"/>
      <c r="U532" s="72"/>
      <c r="V532" s="72"/>
      <c r="W532" s="72"/>
      <c r="X532" s="72"/>
      <c r="Y532" s="72"/>
      <c r="Z532" s="72"/>
      <c r="AA532" s="72"/>
    </row>
    <row r="533" spans="1:27" x14ac:dyDescent="0.35">
      <c r="A533"/>
      <c r="B533" s="97"/>
      <c r="C533"/>
      <c r="D533"/>
      <c r="E533" s="88"/>
      <c r="F533"/>
      <c r="G533"/>
      <c r="H533"/>
      <c r="I533"/>
      <c r="J533"/>
      <c r="K533"/>
      <c r="L533"/>
      <c r="M533"/>
      <c r="N533"/>
      <c r="O533"/>
      <c r="P533" s="72"/>
      <c r="Q533" s="72"/>
      <c r="R533" s="72"/>
      <c r="S533" s="72"/>
      <c r="T533" s="72"/>
      <c r="U533" s="72"/>
      <c r="V533" s="72"/>
      <c r="W533" s="72"/>
      <c r="X533" s="72"/>
      <c r="Y533" s="72"/>
      <c r="Z533" s="72"/>
      <c r="AA533" s="72"/>
    </row>
    <row r="534" spans="1:27" x14ac:dyDescent="0.35">
      <c r="A534"/>
      <c r="B534" s="97"/>
      <c r="C534"/>
      <c r="D534"/>
      <c r="E534" s="88"/>
      <c r="F534"/>
      <c r="G534"/>
      <c r="H534"/>
      <c r="I534"/>
      <c r="J534"/>
      <c r="K534"/>
      <c r="L534"/>
      <c r="M534"/>
      <c r="N534"/>
      <c r="O534"/>
      <c r="P534" s="72"/>
      <c r="Q534" s="72"/>
      <c r="R534" s="72"/>
      <c r="S534" s="72"/>
      <c r="T534" s="72"/>
      <c r="U534" s="72"/>
      <c r="V534" s="72"/>
      <c r="W534" s="72"/>
      <c r="X534" s="72"/>
      <c r="Y534" s="72"/>
      <c r="Z534" s="72"/>
      <c r="AA534" s="72"/>
    </row>
    <row r="535" spans="1:27" x14ac:dyDescent="0.35">
      <c r="A535"/>
      <c r="B535" s="97"/>
      <c r="C535"/>
      <c r="D535"/>
      <c r="E535" s="88"/>
      <c r="F535"/>
      <c r="G535"/>
      <c r="H535"/>
      <c r="I535"/>
      <c r="J535"/>
      <c r="K535"/>
      <c r="L535"/>
      <c r="M535"/>
      <c r="N535"/>
      <c r="O535"/>
      <c r="P535" s="72"/>
      <c r="Q535" s="72"/>
      <c r="R535" s="72"/>
      <c r="S535" s="72"/>
      <c r="T535" s="72"/>
      <c r="U535" s="72"/>
      <c r="V535" s="72"/>
      <c r="W535" s="72"/>
      <c r="X535" s="72"/>
      <c r="Y535" s="72"/>
      <c r="Z535" s="72"/>
      <c r="AA535" s="72"/>
    </row>
    <row r="536" spans="1:27" x14ac:dyDescent="0.35">
      <c r="A536"/>
      <c r="B536" s="97"/>
      <c r="C536"/>
      <c r="D536"/>
      <c r="E536" s="88"/>
      <c r="F536"/>
      <c r="G536"/>
      <c r="H536"/>
      <c r="I536"/>
      <c r="J536"/>
      <c r="K536"/>
      <c r="L536"/>
      <c r="M536"/>
      <c r="N536"/>
      <c r="O536"/>
      <c r="P536" s="72"/>
      <c r="Q536" s="72"/>
      <c r="R536" s="72"/>
      <c r="S536" s="72"/>
      <c r="T536" s="72"/>
      <c r="U536" s="72"/>
      <c r="V536" s="72"/>
      <c r="W536" s="72"/>
      <c r="X536" s="72"/>
      <c r="Y536" s="72"/>
      <c r="Z536" s="72"/>
      <c r="AA536" s="72"/>
    </row>
    <row r="537" spans="1:27" x14ac:dyDescent="0.35">
      <c r="A537"/>
      <c r="B537" s="97"/>
      <c r="C537"/>
      <c r="D537"/>
      <c r="E537" s="88"/>
      <c r="F537"/>
      <c r="G537"/>
      <c r="H537"/>
      <c r="I537"/>
      <c r="J537"/>
      <c r="K537"/>
      <c r="L537"/>
      <c r="M537"/>
      <c r="N537"/>
      <c r="O537"/>
      <c r="P537" s="72"/>
      <c r="Q537" s="72"/>
      <c r="R537" s="72"/>
      <c r="S537" s="72"/>
      <c r="T537" s="72"/>
      <c r="U537" s="72"/>
      <c r="V537" s="72"/>
      <c r="W537" s="72"/>
      <c r="X537" s="72"/>
      <c r="Y537" s="72"/>
      <c r="Z537" s="72"/>
      <c r="AA537" s="72"/>
    </row>
    <row r="538" spans="1:27" x14ac:dyDescent="0.35">
      <c r="A538"/>
      <c r="B538" s="97"/>
      <c r="C538"/>
      <c r="D538"/>
      <c r="E538" s="88"/>
      <c r="F538"/>
      <c r="G538"/>
      <c r="H538"/>
      <c r="I538"/>
      <c r="J538"/>
      <c r="K538"/>
      <c r="L538"/>
      <c r="M538"/>
      <c r="N538"/>
      <c r="O538"/>
      <c r="P538" s="72"/>
      <c r="Q538" s="72"/>
      <c r="R538" s="72"/>
      <c r="S538" s="72"/>
      <c r="T538" s="72"/>
      <c r="U538" s="72"/>
      <c r="V538" s="72"/>
      <c r="W538" s="72"/>
      <c r="X538" s="72"/>
      <c r="Y538" s="72"/>
      <c r="Z538" s="72"/>
      <c r="AA538" s="72"/>
    </row>
    <row r="539" spans="1:27" x14ac:dyDescent="0.35">
      <c r="A539"/>
      <c r="B539" s="97"/>
      <c r="C539"/>
      <c r="D539"/>
      <c r="E539" s="88"/>
      <c r="F539"/>
      <c r="G539"/>
      <c r="H539"/>
      <c r="I539"/>
      <c r="J539"/>
      <c r="K539"/>
      <c r="L539"/>
      <c r="M539"/>
      <c r="N539"/>
      <c r="O539"/>
      <c r="P539" s="72"/>
      <c r="Q539" s="72"/>
      <c r="R539" s="72"/>
      <c r="S539" s="72"/>
      <c r="T539" s="72"/>
      <c r="U539" s="72"/>
      <c r="V539" s="72"/>
      <c r="W539" s="72"/>
      <c r="X539" s="72"/>
      <c r="Y539" s="72"/>
      <c r="Z539" s="72"/>
      <c r="AA539" s="72"/>
    </row>
    <row r="540" spans="1:27" x14ac:dyDescent="0.35">
      <c r="A540"/>
      <c r="B540" s="97"/>
      <c r="C540"/>
      <c r="D540"/>
      <c r="E540" s="88"/>
      <c r="F540"/>
      <c r="G540"/>
      <c r="H540"/>
      <c r="I540"/>
      <c r="J540"/>
      <c r="K540"/>
      <c r="L540"/>
      <c r="M540"/>
      <c r="N540"/>
      <c r="O540"/>
      <c r="P540" s="72"/>
      <c r="Q540" s="72"/>
      <c r="R540" s="72"/>
      <c r="S540" s="72"/>
      <c r="T540" s="72"/>
      <c r="U540" s="72"/>
      <c r="V540" s="72"/>
      <c r="W540" s="72"/>
      <c r="X540" s="72"/>
      <c r="Y540" s="72"/>
      <c r="Z540" s="72"/>
      <c r="AA540" s="72"/>
    </row>
    <row r="541" spans="1:27" x14ac:dyDescent="0.35">
      <c r="A541"/>
      <c r="B541" s="97"/>
      <c r="C541"/>
      <c r="D541"/>
      <c r="E541" s="88"/>
      <c r="F541"/>
      <c r="G541"/>
      <c r="H541"/>
      <c r="I541"/>
      <c r="J541"/>
      <c r="K541"/>
      <c r="L541"/>
      <c r="M541"/>
      <c r="N541"/>
      <c r="O541"/>
      <c r="P541" s="72"/>
      <c r="Q541" s="72"/>
      <c r="R541" s="72"/>
      <c r="S541" s="72"/>
      <c r="T541" s="72"/>
      <c r="U541" s="72"/>
      <c r="V541" s="72"/>
      <c r="W541" s="72"/>
      <c r="X541" s="72"/>
      <c r="Y541" s="72"/>
      <c r="Z541" s="72"/>
      <c r="AA541" s="72"/>
    </row>
    <row r="542" spans="1:27" x14ac:dyDescent="0.35">
      <c r="A542"/>
      <c r="B542" s="97"/>
      <c r="C542"/>
      <c r="D542"/>
      <c r="E542" s="88"/>
      <c r="F542"/>
      <c r="G542"/>
      <c r="H542"/>
      <c r="I542"/>
      <c r="J542"/>
      <c r="K542"/>
      <c r="L542"/>
      <c r="M542"/>
      <c r="N542"/>
      <c r="O542"/>
      <c r="P542" s="72"/>
      <c r="Q542" s="72"/>
      <c r="R542" s="72"/>
      <c r="S542" s="72"/>
      <c r="T542" s="72"/>
      <c r="U542" s="72"/>
      <c r="V542" s="72"/>
      <c r="W542" s="72"/>
      <c r="X542" s="72"/>
      <c r="Y542" s="72"/>
      <c r="Z542" s="72"/>
      <c r="AA542" s="72"/>
    </row>
    <row r="543" spans="1:27" x14ac:dyDescent="0.35">
      <c r="A543"/>
      <c r="B543" s="97"/>
      <c r="C543"/>
      <c r="D543"/>
      <c r="E543" s="88"/>
      <c r="F543"/>
      <c r="G543"/>
      <c r="H543"/>
      <c r="I543"/>
      <c r="J543"/>
      <c r="K543"/>
      <c r="L543"/>
      <c r="M543"/>
      <c r="N543"/>
      <c r="O543"/>
      <c r="P543" s="72"/>
      <c r="Q543" s="72"/>
      <c r="R543" s="72"/>
      <c r="S543" s="72"/>
      <c r="T543" s="72"/>
      <c r="U543" s="72"/>
      <c r="V543" s="72"/>
      <c r="W543" s="72"/>
      <c r="X543" s="72"/>
      <c r="Y543" s="72"/>
      <c r="Z543" s="72"/>
      <c r="AA543" s="72"/>
    </row>
    <row r="544" spans="1:27" x14ac:dyDescent="0.35">
      <c r="A544"/>
      <c r="B544" s="97"/>
      <c r="C544"/>
      <c r="D544"/>
      <c r="E544" s="88"/>
      <c r="F544"/>
      <c r="G544"/>
      <c r="H544"/>
      <c r="I544"/>
      <c r="J544"/>
      <c r="K544"/>
      <c r="L544"/>
      <c r="M544"/>
      <c r="N544"/>
      <c r="O544"/>
      <c r="P544" s="72"/>
      <c r="Q544" s="72"/>
      <c r="R544" s="72"/>
      <c r="S544" s="72"/>
      <c r="T544" s="72"/>
      <c r="U544" s="72"/>
      <c r="V544" s="72"/>
      <c r="W544" s="72"/>
      <c r="X544" s="72"/>
      <c r="Y544" s="72"/>
      <c r="Z544" s="72"/>
      <c r="AA544" s="72"/>
    </row>
    <row r="545" spans="1:27" x14ac:dyDescent="0.35">
      <c r="A545"/>
      <c r="B545" s="97"/>
      <c r="C545"/>
      <c r="D545"/>
      <c r="E545" s="88"/>
      <c r="F545"/>
      <c r="G545"/>
      <c r="H545"/>
      <c r="I545"/>
      <c r="J545"/>
      <c r="K545"/>
      <c r="L545"/>
      <c r="M545"/>
      <c r="N545"/>
      <c r="O545"/>
      <c r="P545" s="72"/>
      <c r="Q545" s="72"/>
      <c r="R545" s="72"/>
      <c r="S545" s="72"/>
      <c r="T545" s="72"/>
      <c r="U545" s="72"/>
      <c r="V545" s="72"/>
      <c r="W545" s="72"/>
      <c r="X545" s="72"/>
      <c r="Y545" s="72"/>
      <c r="Z545" s="72"/>
      <c r="AA545" s="72"/>
    </row>
    <row r="546" spans="1:27" x14ac:dyDescent="0.35">
      <c r="A546"/>
      <c r="B546" s="97"/>
      <c r="C546"/>
      <c r="D546"/>
      <c r="E546" s="88"/>
      <c r="F546"/>
      <c r="G546"/>
      <c r="H546"/>
      <c r="I546"/>
      <c r="J546"/>
      <c r="K546"/>
      <c r="L546"/>
      <c r="M546"/>
      <c r="N546"/>
      <c r="O546"/>
      <c r="P546" s="72"/>
      <c r="Q546" s="72"/>
      <c r="R546" s="72"/>
      <c r="S546" s="72"/>
      <c r="T546" s="72"/>
      <c r="U546" s="72"/>
      <c r="V546" s="72"/>
      <c r="W546" s="72"/>
      <c r="X546" s="72"/>
      <c r="Y546" s="72"/>
      <c r="Z546" s="72"/>
      <c r="AA546" s="72"/>
    </row>
    <row r="547" spans="1:27" x14ac:dyDescent="0.35">
      <c r="A547"/>
      <c r="B547" s="97"/>
      <c r="C547"/>
      <c r="D547"/>
      <c r="E547" s="88"/>
      <c r="F547"/>
      <c r="G547"/>
      <c r="H547"/>
      <c r="I547"/>
      <c r="J547"/>
      <c r="K547"/>
      <c r="L547"/>
      <c r="M547"/>
      <c r="N547"/>
      <c r="O547"/>
      <c r="P547" s="72"/>
      <c r="Q547" s="72"/>
      <c r="R547" s="72"/>
      <c r="S547" s="72"/>
      <c r="T547" s="72"/>
      <c r="U547" s="72"/>
      <c r="V547" s="72"/>
      <c r="W547" s="72"/>
      <c r="X547" s="72"/>
      <c r="Y547" s="72"/>
      <c r="Z547" s="72"/>
      <c r="AA547" s="72"/>
    </row>
    <row r="548" spans="1:27" x14ac:dyDescent="0.35">
      <c r="A548"/>
      <c r="B548" s="97"/>
      <c r="C548"/>
      <c r="D548"/>
      <c r="E548" s="88"/>
      <c r="F548"/>
      <c r="G548"/>
      <c r="H548"/>
      <c r="I548"/>
      <c r="J548"/>
      <c r="K548"/>
      <c r="L548"/>
      <c r="M548"/>
      <c r="N548"/>
      <c r="O548"/>
      <c r="P548" s="72"/>
      <c r="Q548" s="72"/>
      <c r="R548" s="72"/>
      <c r="S548" s="72"/>
      <c r="T548" s="72"/>
      <c r="U548" s="72"/>
      <c r="V548" s="72"/>
      <c r="W548" s="72"/>
      <c r="X548" s="72"/>
      <c r="Y548" s="72"/>
      <c r="Z548" s="72"/>
      <c r="AA548" s="72"/>
    </row>
    <row r="549" spans="1:27" x14ac:dyDescent="0.35">
      <c r="A549"/>
      <c r="B549" s="97"/>
      <c r="C549"/>
      <c r="D549"/>
      <c r="E549" s="88"/>
      <c r="F549"/>
      <c r="G549"/>
      <c r="H549"/>
      <c r="I549"/>
      <c r="J549"/>
      <c r="K549"/>
      <c r="L549"/>
      <c r="M549"/>
      <c r="N549"/>
      <c r="O549"/>
      <c r="P549" s="72"/>
      <c r="Q549" s="72"/>
      <c r="R549" s="72"/>
      <c r="S549" s="72"/>
      <c r="T549" s="72"/>
      <c r="U549" s="72"/>
      <c r="V549" s="72"/>
      <c r="W549" s="72"/>
      <c r="X549" s="72"/>
      <c r="Y549" s="72"/>
      <c r="Z549" s="72"/>
      <c r="AA549" s="72"/>
    </row>
    <row r="550" spans="1:27" x14ac:dyDescent="0.35">
      <c r="A550"/>
      <c r="B550" s="97"/>
      <c r="C550"/>
      <c r="D550"/>
      <c r="E550" s="88"/>
      <c r="F550"/>
      <c r="G550"/>
      <c r="H550"/>
      <c r="I550"/>
      <c r="J550"/>
      <c r="K550"/>
      <c r="L550"/>
      <c r="M550"/>
      <c r="N550"/>
      <c r="O550"/>
      <c r="P550" s="72"/>
      <c r="Q550" s="72"/>
      <c r="R550" s="72"/>
      <c r="S550" s="72"/>
      <c r="T550" s="72"/>
      <c r="U550" s="72"/>
      <c r="V550" s="72"/>
      <c r="W550" s="72"/>
      <c r="X550" s="72"/>
      <c r="Y550" s="72"/>
      <c r="Z550" s="72"/>
      <c r="AA550" s="72"/>
    </row>
    <row r="551" spans="1:27" x14ac:dyDescent="0.35">
      <c r="A551"/>
      <c r="B551" s="97"/>
      <c r="C551"/>
      <c r="D551"/>
      <c r="E551" s="88"/>
      <c r="F551"/>
      <c r="G551"/>
      <c r="H551"/>
      <c r="I551"/>
      <c r="J551"/>
      <c r="K551"/>
      <c r="L551"/>
      <c r="M551"/>
      <c r="N551"/>
      <c r="O551"/>
      <c r="P551" s="72"/>
      <c r="Q551" s="72"/>
      <c r="R551" s="72"/>
      <c r="S551" s="72"/>
      <c r="T551" s="72"/>
      <c r="U551" s="72"/>
      <c r="V551" s="72"/>
      <c r="W551" s="72"/>
      <c r="X551" s="72"/>
      <c r="Y551" s="72"/>
      <c r="Z551" s="72"/>
      <c r="AA551" s="72"/>
    </row>
    <row r="552" spans="1:27" x14ac:dyDescent="0.35">
      <c r="A552"/>
      <c r="B552" s="97"/>
      <c r="C552"/>
      <c r="D552"/>
      <c r="E552" s="88"/>
      <c r="F552"/>
      <c r="G552"/>
      <c r="H552"/>
      <c r="I552"/>
      <c r="J552"/>
      <c r="K552"/>
      <c r="L552"/>
      <c r="M552"/>
      <c r="N552"/>
      <c r="O552"/>
      <c r="P552" s="72"/>
      <c r="Q552" s="72"/>
      <c r="R552" s="72"/>
      <c r="S552" s="72"/>
      <c r="T552" s="72"/>
      <c r="U552" s="72"/>
      <c r="V552" s="72"/>
      <c r="W552" s="72"/>
      <c r="X552" s="72"/>
      <c r="Y552" s="72"/>
      <c r="Z552" s="72"/>
      <c r="AA552" s="72"/>
    </row>
    <row r="553" spans="1:27" x14ac:dyDescent="0.35">
      <c r="A553"/>
      <c r="B553" s="97"/>
      <c r="C553"/>
      <c r="D553"/>
      <c r="E553" s="88"/>
      <c r="F553"/>
      <c r="G553"/>
      <c r="H553"/>
      <c r="I553"/>
      <c r="J553"/>
      <c r="K553"/>
      <c r="L553"/>
      <c r="M553"/>
      <c r="N553"/>
      <c r="O553"/>
      <c r="P553" s="72"/>
      <c r="Q553" s="72"/>
      <c r="R553" s="72"/>
      <c r="S553" s="72"/>
      <c r="T553" s="72"/>
      <c r="U553" s="72"/>
      <c r="V553" s="72"/>
      <c r="W553" s="72"/>
      <c r="X553" s="72"/>
      <c r="Y553" s="72"/>
      <c r="Z553" s="72"/>
      <c r="AA553" s="72"/>
    </row>
    <row r="554" spans="1:27" x14ac:dyDescent="0.35">
      <c r="A554"/>
      <c r="B554" s="97"/>
      <c r="C554"/>
      <c r="D554"/>
      <c r="E554" s="88"/>
      <c r="F554"/>
      <c r="G554"/>
      <c r="H554"/>
      <c r="I554"/>
      <c r="J554"/>
      <c r="K554"/>
      <c r="L554"/>
      <c r="M554"/>
      <c r="N554"/>
      <c r="O554"/>
      <c r="P554" s="72"/>
      <c r="Q554" s="72"/>
      <c r="R554" s="72"/>
      <c r="S554" s="72"/>
      <c r="T554" s="72"/>
      <c r="U554" s="72"/>
      <c r="V554" s="72"/>
      <c r="W554" s="72"/>
      <c r="X554" s="72"/>
      <c r="Y554" s="72"/>
      <c r="Z554" s="72"/>
      <c r="AA554" s="72"/>
    </row>
    <row r="555" spans="1:27" x14ac:dyDescent="0.35">
      <c r="A555"/>
      <c r="B555" s="97"/>
      <c r="C555"/>
      <c r="D555"/>
      <c r="E555" s="88"/>
      <c r="F555"/>
      <c r="G555"/>
      <c r="H555"/>
      <c r="I555"/>
      <c r="J555"/>
      <c r="K555"/>
      <c r="L555"/>
      <c r="M555"/>
      <c r="N555"/>
      <c r="O555"/>
      <c r="P555" s="72"/>
      <c r="Q555" s="72"/>
      <c r="R555" s="72"/>
      <c r="S555" s="72"/>
      <c r="T555" s="72"/>
      <c r="U555" s="72"/>
      <c r="V555" s="72"/>
      <c r="W555" s="72"/>
      <c r="X555" s="72"/>
      <c r="Y555" s="72"/>
      <c r="Z555" s="72"/>
      <c r="AA555" s="72"/>
    </row>
    <row r="556" spans="1:27" x14ac:dyDescent="0.35">
      <c r="A556"/>
      <c r="B556" s="97"/>
      <c r="C556"/>
      <c r="D556"/>
      <c r="E556" s="88"/>
      <c r="F556"/>
      <c r="G556"/>
      <c r="H556"/>
      <c r="I556"/>
      <c r="J556"/>
      <c r="K556"/>
      <c r="L556"/>
      <c r="M556"/>
      <c r="N556"/>
      <c r="O556"/>
      <c r="P556" s="72"/>
      <c r="Q556" s="72"/>
      <c r="R556" s="72"/>
      <c r="S556" s="72"/>
      <c r="T556" s="72"/>
      <c r="U556" s="72"/>
      <c r="V556" s="72"/>
      <c r="W556" s="72"/>
      <c r="X556" s="72"/>
      <c r="Y556" s="72"/>
      <c r="Z556" s="72"/>
      <c r="AA556" s="72"/>
    </row>
    <row r="557" spans="1:27" x14ac:dyDescent="0.35">
      <c r="A557"/>
      <c r="B557" s="97"/>
      <c r="C557"/>
      <c r="D557"/>
      <c r="E557" s="88"/>
      <c r="F557"/>
      <c r="G557"/>
      <c r="H557"/>
      <c r="I557"/>
      <c r="J557"/>
      <c r="K557"/>
      <c r="L557"/>
      <c r="M557"/>
      <c r="N557"/>
      <c r="O557"/>
      <c r="P557" s="72"/>
      <c r="Q557" s="72"/>
      <c r="R557" s="72"/>
      <c r="S557" s="72"/>
      <c r="T557" s="72"/>
      <c r="U557" s="72"/>
      <c r="V557" s="72"/>
      <c r="W557" s="72"/>
      <c r="X557" s="72"/>
      <c r="Y557" s="72"/>
      <c r="Z557" s="72"/>
      <c r="AA557" s="72"/>
    </row>
    <row r="558" spans="1:27" x14ac:dyDescent="0.35">
      <c r="A558"/>
      <c r="B558" s="97"/>
      <c r="C558"/>
      <c r="D558"/>
      <c r="E558" s="88"/>
      <c r="F558"/>
      <c r="G558"/>
      <c r="H558"/>
      <c r="I558"/>
      <c r="J558"/>
      <c r="K558"/>
      <c r="L558"/>
      <c r="M558"/>
      <c r="N558"/>
      <c r="O558"/>
      <c r="P558" s="72"/>
      <c r="Q558" s="72"/>
      <c r="R558" s="72"/>
      <c r="S558" s="72"/>
      <c r="T558" s="72"/>
      <c r="U558" s="72"/>
      <c r="V558" s="72"/>
      <c r="W558" s="72"/>
      <c r="X558" s="72"/>
      <c r="Y558" s="72"/>
      <c r="Z558" s="72"/>
      <c r="AA558" s="72"/>
    </row>
    <row r="559" spans="1:27" x14ac:dyDescent="0.35">
      <c r="A559"/>
      <c r="B559" s="97"/>
      <c r="C559"/>
      <c r="D559"/>
      <c r="E559" s="88"/>
      <c r="F559"/>
      <c r="G559"/>
      <c r="H559"/>
      <c r="I559"/>
      <c r="J559"/>
      <c r="K559"/>
      <c r="L559"/>
      <c r="M559"/>
      <c r="N559"/>
      <c r="O559"/>
      <c r="P559" s="72"/>
      <c r="Q559" s="72"/>
      <c r="R559" s="72"/>
      <c r="S559" s="72"/>
      <c r="T559" s="72"/>
      <c r="U559" s="72"/>
      <c r="V559" s="72"/>
      <c r="W559" s="72"/>
      <c r="X559" s="72"/>
      <c r="Y559" s="72"/>
      <c r="Z559" s="72"/>
      <c r="AA559" s="72"/>
    </row>
    <row r="560" spans="1:27" x14ac:dyDescent="0.35">
      <c r="A560"/>
      <c r="B560" s="97"/>
      <c r="C560"/>
      <c r="D560"/>
      <c r="E560" s="88"/>
      <c r="F560"/>
      <c r="G560"/>
      <c r="H560"/>
      <c r="I560"/>
      <c r="J560"/>
      <c r="K560"/>
      <c r="L560"/>
      <c r="M560"/>
      <c r="N560"/>
      <c r="O560"/>
      <c r="P560" s="72"/>
      <c r="Q560" s="72"/>
      <c r="R560" s="72"/>
      <c r="S560" s="72"/>
      <c r="T560" s="72"/>
      <c r="U560" s="72"/>
      <c r="V560" s="72"/>
      <c r="W560" s="72"/>
      <c r="X560" s="72"/>
      <c r="Y560" s="72"/>
      <c r="Z560" s="72"/>
      <c r="AA560" s="72"/>
    </row>
    <row r="561" spans="1:27" x14ac:dyDescent="0.35">
      <c r="A561"/>
      <c r="B561" s="97"/>
      <c r="C561"/>
      <c r="D561"/>
      <c r="E561" s="88"/>
      <c r="F561"/>
      <c r="G561"/>
      <c r="H561"/>
      <c r="I561"/>
      <c r="J561"/>
      <c r="K561"/>
      <c r="L561"/>
      <c r="M561"/>
      <c r="N561"/>
      <c r="O561"/>
      <c r="P561" s="72"/>
      <c r="Q561" s="72"/>
      <c r="R561" s="72"/>
      <c r="S561" s="72"/>
      <c r="T561" s="72"/>
      <c r="U561" s="72"/>
      <c r="V561" s="72"/>
      <c r="W561" s="72"/>
      <c r="X561" s="72"/>
      <c r="Y561" s="72"/>
      <c r="Z561" s="72"/>
      <c r="AA561" s="72"/>
    </row>
    <row r="562" spans="1:27" x14ac:dyDescent="0.35">
      <c r="A562"/>
      <c r="B562" s="97"/>
      <c r="C562"/>
      <c r="D562"/>
      <c r="E562" s="88"/>
      <c r="F562"/>
      <c r="G562"/>
      <c r="H562"/>
      <c r="I562"/>
      <c r="J562"/>
      <c r="K562"/>
      <c r="L562"/>
      <c r="M562"/>
      <c r="N562"/>
      <c r="O562"/>
      <c r="P562" s="72"/>
      <c r="Q562" s="72"/>
      <c r="R562" s="72"/>
      <c r="S562" s="72"/>
      <c r="T562" s="72"/>
      <c r="U562" s="72"/>
      <c r="V562" s="72"/>
      <c r="W562" s="72"/>
      <c r="X562" s="72"/>
      <c r="Y562" s="72"/>
      <c r="Z562" s="72"/>
      <c r="AA562" s="72"/>
    </row>
    <row r="563" spans="1:27" x14ac:dyDescent="0.35">
      <c r="A563"/>
      <c r="B563" s="97"/>
      <c r="C563"/>
      <c r="D563"/>
      <c r="E563" s="88"/>
      <c r="F563"/>
      <c r="G563"/>
      <c r="H563"/>
      <c r="I563"/>
      <c r="J563"/>
      <c r="K563"/>
      <c r="L563"/>
      <c r="M563"/>
      <c r="N563"/>
      <c r="O563"/>
      <c r="P563" s="72"/>
      <c r="Q563" s="72"/>
      <c r="R563" s="72"/>
      <c r="S563" s="72"/>
      <c r="T563" s="72"/>
      <c r="U563" s="72"/>
      <c r="V563" s="72"/>
      <c r="W563" s="72"/>
      <c r="X563" s="72"/>
      <c r="Y563" s="72"/>
      <c r="Z563" s="72"/>
      <c r="AA563" s="72"/>
    </row>
    <row r="564" spans="1:27" x14ac:dyDescent="0.35">
      <c r="A564"/>
      <c r="B564" s="97"/>
      <c r="C564"/>
      <c r="D564"/>
      <c r="E564" s="88"/>
      <c r="F564"/>
      <c r="G564"/>
      <c r="H564"/>
      <c r="I564"/>
      <c r="J564"/>
      <c r="K564"/>
      <c r="L564"/>
      <c r="M564"/>
      <c r="N564"/>
      <c r="O564"/>
      <c r="P564" s="72"/>
      <c r="Q564" s="72"/>
      <c r="R564" s="72"/>
      <c r="S564" s="72"/>
      <c r="T564" s="72"/>
      <c r="U564" s="72"/>
      <c r="V564" s="72"/>
      <c r="W564" s="72"/>
      <c r="X564" s="72"/>
      <c r="Y564" s="72"/>
      <c r="Z564" s="72"/>
      <c r="AA564" s="72"/>
    </row>
    <row r="565" spans="1:27" x14ac:dyDescent="0.35">
      <c r="A565"/>
      <c r="B565" s="97"/>
      <c r="C565"/>
      <c r="D565"/>
      <c r="E565" s="88"/>
      <c r="F565"/>
      <c r="G565"/>
      <c r="H565"/>
      <c r="I565"/>
      <c r="J565"/>
      <c r="K565"/>
      <c r="L565"/>
      <c r="M565"/>
      <c r="N565"/>
      <c r="O565"/>
      <c r="P565" s="72"/>
      <c r="Q565" s="72"/>
      <c r="R565" s="72"/>
      <c r="S565" s="72"/>
      <c r="T565" s="72"/>
      <c r="U565" s="72"/>
      <c r="V565" s="72"/>
      <c r="W565" s="72"/>
      <c r="X565" s="72"/>
      <c r="Y565" s="72"/>
      <c r="Z565" s="72"/>
      <c r="AA565" s="72"/>
    </row>
    <row r="566" spans="1:27" x14ac:dyDescent="0.35">
      <c r="A566"/>
      <c r="B566" s="97"/>
      <c r="C566"/>
      <c r="D566"/>
      <c r="E566" s="88"/>
      <c r="F566"/>
      <c r="G566"/>
      <c r="H566"/>
      <c r="I566"/>
      <c r="J566"/>
      <c r="K566"/>
      <c r="L566"/>
      <c r="M566"/>
      <c r="N566"/>
      <c r="O566"/>
      <c r="P566" s="72"/>
      <c r="Q566" s="72"/>
      <c r="R566" s="72"/>
      <c r="S566" s="72"/>
      <c r="T566" s="72"/>
      <c r="U566" s="72"/>
      <c r="V566" s="72"/>
      <c r="W566" s="72"/>
      <c r="X566" s="72"/>
      <c r="Y566" s="72"/>
      <c r="Z566" s="72"/>
      <c r="AA566" s="72"/>
    </row>
    <row r="567" spans="1:27" x14ac:dyDescent="0.35">
      <c r="A567"/>
      <c r="B567" s="97"/>
      <c r="C567"/>
      <c r="D567"/>
      <c r="E567" s="88"/>
      <c r="F567"/>
      <c r="G567"/>
      <c r="H567"/>
      <c r="I567"/>
      <c r="J567"/>
      <c r="K567"/>
      <c r="L567"/>
      <c r="M567"/>
      <c r="N567"/>
      <c r="O567"/>
      <c r="P567" s="72"/>
      <c r="Q567" s="72"/>
      <c r="R567" s="72"/>
      <c r="S567" s="72"/>
      <c r="T567" s="72"/>
      <c r="U567" s="72"/>
      <c r="V567" s="72"/>
      <c r="W567" s="72"/>
      <c r="X567" s="72"/>
      <c r="Y567" s="72"/>
      <c r="Z567" s="72"/>
      <c r="AA567" s="72"/>
    </row>
    <row r="568" spans="1:27" x14ac:dyDescent="0.35">
      <c r="A568"/>
      <c r="B568" s="97"/>
      <c r="C568"/>
      <c r="D568"/>
      <c r="E568" s="88"/>
      <c r="F568"/>
      <c r="G568"/>
      <c r="H568"/>
      <c r="I568"/>
      <c r="J568"/>
      <c r="K568"/>
      <c r="L568"/>
      <c r="M568"/>
      <c r="N568"/>
      <c r="O568"/>
      <c r="P568" s="72"/>
      <c r="Q568" s="72"/>
      <c r="R568" s="72"/>
      <c r="S568" s="72"/>
      <c r="T568" s="72"/>
      <c r="U568" s="72"/>
      <c r="V568" s="72"/>
      <c r="W568" s="72"/>
      <c r="X568" s="72"/>
      <c r="Y568" s="72"/>
      <c r="Z568" s="72"/>
      <c r="AA568" s="72"/>
    </row>
    <row r="569" spans="1:27" x14ac:dyDescent="0.35">
      <c r="A569"/>
      <c r="B569" s="97"/>
      <c r="C569"/>
      <c r="D569"/>
      <c r="E569" s="88"/>
      <c r="F569"/>
      <c r="G569"/>
      <c r="H569"/>
      <c r="I569"/>
      <c r="J569"/>
      <c r="K569"/>
      <c r="L569"/>
      <c r="M569"/>
      <c r="N569"/>
      <c r="O569"/>
      <c r="P569" s="72"/>
      <c r="Q569" s="72"/>
      <c r="R569" s="72"/>
      <c r="S569" s="72"/>
      <c r="T569" s="72"/>
      <c r="U569" s="72"/>
      <c r="V569" s="72"/>
      <c r="W569" s="72"/>
      <c r="X569" s="72"/>
      <c r="Y569" s="72"/>
      <c r="Z569" s="72"/>
      <c r="AA569" s="72"/>
    </row>
    <row r="570" spans="1:27" x14ac:dyDescent="0.35">
      <c r="A570"/>
      <c r="B570" s="97"/>
      <c r="C570"/>
      <c r="D570"/>
      <c r="E570" s="88"/>
      <c r="F570"/>
      <c r="G570"/>
      <c r="H570"/>
      <c r="I570"/>
      <c r="J570"/>
      <c r="K570"/>
      <c r="L570"/>
      <c r="M570"/>
      <c r="N570"/>
      <c r="O570"/>
      <c r="P570" s="72"/>
      <c r="Q570" s="72"/>
      <c r="R570" s="72"/>
      <c r="S570" s="72"/>
      <c r="T570" s="72"/>
      <c r="U570" s="72"/>
      <c r="V570" s="72"/>
      <c r="W570" s="72"/>
      <c r="X570" s="72"/>
      <c r="Y570" s="72"/>
      <c r="Z570" s="72"/>
      <c r="AA570" s="72"/>
    </row>
    <row r="571" spans="1:27" x14ac:dyDescent="0.35">
      <c r="A571"/>
      <c r="B571" s="97"/>
      <c r="C571"/>
      <c r="D571"/>
      <c r="E571" s="88"/>
      <c r="F571"/>
      <c r="G571"/>
      <c r="H571"/>
      <c r="I571"/>
      <c r="J571"/>
      <c r="K571"/>
      <c r="L571"/>
      <c r="M571"/>
      <c r="N571"/>
      <c r="O571"/>
      <c r="P571" s="72"/>
      <c r="Q571" s="72"/>
      <c r="R571" s="72"/>
      <c r="S571" s="72"/>
      <c r="T571" s="72"/>
      <c r="U571" s="72"/>
      <c r="V571" s="72"/>
      <c r="W571" s="72"/>
      <c r="X571" s="72"/>
      <c r="Y571" s="72"/>
      <c r="Z571" s="72"/>
      <c r="AA571" s="72"/>
    </row>
    <row r="572" spans="1:27" x14ac:dyDescent="0.35">
      <c r="A572"/>
      <c r="B572" s="97"/>
      <c r="C572"/>
      <c r="D572"/>
      <c r="E572" s="88"/>
      <c r="F572"/>
      <c r="G572"/>
      <c r="H572"/>
      <c r="I572"/>
      <c r="J572"/>
      <c r="K572"/>
      <c r="L572"/>
      <c r="M572"/>
      <c r="N572"/>
      <c r="O572"/>
      <c r="P572" s="72"/>
      <c r="Q572" s="72"/>
      <c r="R572" s="72"/>
      <c r="S572" s="72"/>
      <c r="T572" s="72"/>
      <c r="U572" s="72"/>
      <c r="V572" s="72"/>
      <c r="W572" s="72"/>
      <c r="X572" s="72"/>
      <c r="Y572" s="72"/>
      <c r="Z572" s="72"/>
      <c r="AA572" s="72"/>
    </row>
    <row r="573" spans="1:27" x14ac:dyDescent="0.35">
      <c r="A573"/>
      <c r="B573" s="97"/>
      <c r="C573"/>
      <c r="D573"/>
      <c r="E573" s="88"/>
      <c r="F573"/>
      <c r="G573"/>
      <c r="H573"/>
      <c r="I573"/>
      <c r="J573"/>
      <c r="K573"/>
      <c r="L573"/>
      <c r="M573"/>
      <c r="N573"/>
      <c r="O573"/>
      <c r="P573" s="72"/>
      <c r="Q573" s="72"/>
      <c r="R573" s="72"/>
      <c r="S573" s="72"/>
      <c r="T573" s="72"/>
      <c r="U573" s="72"/>
      <c r="V573" s="72"/>
      <c r="W573" s="72"/>
      <c r="X573" s="72"/>
      <c r="Y573" s="72"/>
      <c r="Z573" s="72"/>
      <c r="AA573" s="72"/>
    </row>
    <row r="574" spans="1:27" x14ac:dyDescent="0.35">
      <c r="A574"/>
      <c r="B574" s="97"/>
      <c r="C574"/>
      <c r="D574"/>
      <c r="E574" s="88"/>
      <c r="F574"/>
      <c r="G574"/>
      <c r="H574"/>
      <c r="I574"/>
      <c r="J574"/>
      <c r="K574"/>
      <c r="L574"/>
      <c r="M574"/>
      <c r="N574"/>
      <c r="O574"/>
      <c r="P574" s="72"/>
      <c r="Q574" s="72"/>
      <c r="R574" s="72"/>
      <c r="S574" s="72"/>
      <c r="T574" s="72"/>
      <c r="U574" s="72"/>
      <c r="V574" s="72"/>
      <c r="W574" s="72"/>
      <c r="X574" s="72"/>
      <c r="Y574" s="72"/>
      <c r="Z574" s="72"/>
      <c r="AA574" s="72"/>
    </row>
    <row r="575" spans="1:27" x14ac:dyDescent="0.35">
      <c r="A575"/>
      <c r="B575" s="97"/>
      <c r="C575"/>
      <c r="D575"/>
      <c r="E575" s="88"/>
      <c r="F575"/>
      <c r="G575"/>
      <c r="H575"/>
      <c r="I575"/>
      <c r="J575"/>
      <c r="K575"/>
      <c r="L575"/>
      <c r="M575"/>
      <c r="N575"/>
      <c r="O575"/>
      <c r="P575" s="72"/>
      <c r="Q575" s="72"/>
      <c r="R575" s="72"/>
      <c r="S575" s="72"/>
      <c r="T575" s="72"/>
      <c r="U575" s="72"/>
      <c r="V575" s="72"/>
      <c r="W575" s="72"/>
      <c r="X575" s="72"/>
      <c r="Y575" s="72"/>
      <c r="Z575" s="72"/>
      <c r="AA575" s="72"/>
    </row>
    <row r="576" spans="1:27" x14ac:dyDescent="0.35">
      <c r="A576"/>
      <c r="B576" s="97"/>
      <c r="C576"/>
      <c r="D576"/>
      <c r="E576" s="88"/>
      <c r="F576"/>
      <c r="G576"/>
      <c r="H576"/>
      <c r="I576"/>
      <c r="J576"/>
      <c r="K576"/>
      <c r="L576"/>
      <c r="M576"/>
      <c r="N576"/>
      <c r="O576"/>
      <c r="P576" s="72"/>
      <c r="Q576" s="72"/>
      <c r="R576" s="72"/>
      <c r="S576" s="72"/>
      <c r="T576" s="72"/>
      <c r="U576" s="72"/>
      <c r="V576" s="72"/>
      <c r="W576" s="72"/>
      <c r="X576" s="72"/>
      <c r="Y576" s="72"/>
      <c r="Z576" s="72"/>
      <c r="AA576" s="72"/>
    </row>
    <row r="577" spans="1:27" x14ac:dyDescent="0.35">
      <c r="A577"/>
      <c r="B577" s="97"/>
      <c r="C577"/>
      <c r="D577"/>
      <c r="E577" s="88"/>
      <c r="F577"/>
      <c r="G577"/>
      <c r="H577"/>
      <c r="I577"/>
      <c r="J577"/>
      <c r="K577"/>
      <c r="L577"/>
      <c r="M577"/>
      <c r="N577"/>
      <c r="O577"/>
      <c r="P577" s="72"/>
      <c r="Q577" s="72"/>
      <c r="R577" s="72"/>
      <c r="S577" s="72"/>
      <c r="T577" s="72"/>
      <c r="U577" s="72"/>
      <c r="V577" s="72"/>
      <c r="W577" s="72"/>
      <c r="X577" s="72"/>
      <c r="Y577" s="72"/>
      <c r="Z577" s="72"/>
      <c r="AA577" s="72"/>
    </row>
    <row r="578" spans="1:27" x14ac:dyDescent="0.35">
      <c r="A578"/>
      <c r="B578" s="97"/>
      <c r="C578"/>
      <c r="D578"/>
      <c r="E578" s="88"/>
      <c r="F578"/>
      <c r="G578"/>
      <c r="H578"/>
      <c r="I578"/>
      <c r="J578"/>
      <c r="K578"/>
      <c r="L578"/>
      <c r="M578"/>
      <c r="N578"/>
      <c r="O578"/>
      <c r="P578" s="72"/>
      <c r="Q578" s="72"/>
      <c r="R578" s="72"/>
      <c r="S578" s="72"/>
      <c r="T578" s="72"/>
      <c r="U578" s="72"/>
      <c r="V578" s="72"/>
      <c r="W578" s="72"/>
      <c r="X578" s="72"/>
      <c r="Y578" s="72"/>
      <c r="Z578" s="72"/>
      <c r="AA578" s="72"/>
    </row>
    <row r="579" spans="1:27" x14ac:dyDescent="0.35">
      <c r="A579"/>
      <c r="B579" s="97"/>
      <c r="C579"/>
      <c r="D579"/>
      <c r="E579" s="88"/>
      <c r="F579"/>
      <c r="G579"/>
      <c r="H579"/>
      <c r="I579"/>
      <c r="J579"/>
      <c r="K579"/>
      <c r="L579"/>
      <c r="M579"/>
      <c r="N579"/>
      <c r="O579"/>
      <c r="P579" s="72"/>
      <c r="Q579" s="72"/>
      <c r="R579" s="72"/>
      <c r="S579" s="72"/>
      <c r="T579" s="72"/>
      <c r="U579" s="72"/>
      <c r="V579" s="72"/>
      <c r="W579" s="72"/>
      <c r="X579" s="72"/>
      <c r="Y579" s="72"/>
      <c r="Z579" s="72"/>
      <c r="AA579" s="72"/>
    </row>
    <row r="580" spans="1:27" x14ac:dyDescent="0.35">
      <c r="A580"/>
      <c r="B580" s="97"/>
      <c r="C580"/>
      <c r="D580"/>
      <c r="E580" s="88"/>
      <c r="F580"/>
      <c r="G580"/>
      <c r="H580"/>
      <c r="I580"/>
      <c r="J580"/>
      <c r="K580"/>
      <c r="L580"/>
      <c r="M580"/>
      <c r="N580"/>
      <c r="O580"/>
      <c r="P580" s="72"/>
      <c r="Q580" s="72"/>
      <c r="R580" s="72"/>
      <c r="S580" s="72"/>
      <c r="T580" s="72"/>
      <c r="U580" s="72"/>
      <c r="V580" s="72"/>
      <c r="W580" s="72"/>
      <c r="X580" s="72"/>
      <c r="Y580" s="72"/>
      <c r="Z580" s="72"/>
      <c r="AA580" s="72"/>
    </row>
    <row r="581" spans="1:27" x14ac:dyDescent="0.35">
      <c r="A581"/>
      <c r="B581" s="97"/>
      <c r="C581"/>
      <c r="D581"/>
      <c r="E581" s="88"/>
      <c r="F581"/>
      <c r="G581"/>
      <c r="H581"/>
      <c r="I581"/>
      <c r="J581"/>
      <c r="K581"/>
      <c r="L581"/>
      <c r="M581"/>
      <c r="N581"/>
      <c r="O581"/>
      <c r="P581" s="72"/>
      <c r="Q581" s="72"/>
      <c r="R581" s="72"/>
      <c r="S581" s="72"/>
      <c r="T581" s="72"/>
      <c r="U581" s="72"/>
      <c r="V581" s="72"/>
      <c r="W581" s="72"/>
      <c r="X581" s="72"/>
      <c r="Y581" s="72"/>
      <c r="Z581" s="72"/>
      <c r="AA581" s="72"/>
    </row>
    <row r="582" spans="1:27" x14ac:dyDescent="0.35">
      <c r="A582"/>
      <c r="B582" s="97"/>
      <c r="C582"/>
      <c r="D582"/>
      <c r="E582" s="88"/>
      <c r="F582"/>
      <c r="G582"/>
      <c r="H582"/>
      <c r="I582"/>
      <c r="J582"/>
      <c r="K582"/>
      <c r="L582"/>
      <c r="M582"/>
      <c r="N582"/>
      <c r="O582"/>
      <c r="P582" s="72"/>
      <c r="Q582" s="72"/>
      <c r="R582" s="72"/>
      <c r="S582" s="72"/>
      <c r="T582" s="72"/>
      <c r="U582" s="72"/>
      <c r="V582" s="72"/>
      <c r="W582" s="72"/>
      <c r="X582" s="72"/>
      <c r="Y582" s="72"/>
      <c r="Z582" s="72"/>
      <c r="AA582" s="72"/>
    </row>
    <row r="583" spans="1:27" x14ac:dyDescent="0.35">
      <c r="A583"/>
      <c r="B583" s="97"/>
      <c r="C583"/>
      <c r="D583"/>
      <c r="E583" s="88"/>
      <c r="F583"/>
      <c r="G583"/>
      <c r="H583"/>
      <c r="I583"/>
      <c r="J583"/>
      <c r="K583"/>
      <c r="L583"/>
      <c r="M583"/>
      <c r="N583"/>
      <c r="O583"/>
      <c r="P583" s="72"/>
      <c r="Q583" s="72"/>
      <c r="R583" s="72"/>
      <c r="S583" s="72"/>
      <c r="T583" s="72"/>
      <c r="U583" s="72"/>
      <c r="V583" s="72"/>
      <c r="W583" s="72"/>
      <c r="X583" s="72"/>
      <c r="Y583" s="72"/>
      <c r="Z583" s="72"/>
      <c r="AA583" s="72"/>
    </row>
    <row r="584" spans="1:27" x14ac:dyDescent="0.35">
      <c r="A584"/>
      <c r="B584" s="97"/>
      <c r="C584"/>
      <c r="D584"/>
      <c r="E584" s="88"/>
      <c r="F584"/>
      <c r="G584"/>
      <c r="H584"/>
      <c r="I584"/>
      <c r="J584"/>
      <c r="K584"/>
      <c r="L584"/>
      <c r="M584"/>
      <c r="N584"/>
      <c r="O584"/>
      <c r="P584" s="72"/>
      <c r="Q584" s="72"/>
      <c r="R584" s="72"/>
      <c r="S584" s="72"/>
      <c r="T584" s="72"/>
      <c r="U584" s="72"/>
      <c r="V584" s="72"/>
      <c r="W584" s="72"/>
      <c r="X584" s="72"/>
      <c r="Y584" s="72"/>
      <c r="Z584" s="72"/>
      <c r="AA584" s="72"/>
    </row>
    <row r="585" spans="1:27" x14ac:dyDescent="0.35">
      <c r="A585"/>
      <c r="B585" s="97"/>
      <c r="C585"/>
      <c r="D585"/>
      <c r="E585" s="88"/>
      <c r="F585"/>
      <c r="G585"/>
      <c r="H585"/>
      <c r="I585"/>
      <c r="J585"/>
      <c r="K585"/>
      <c r="L585"/>
      <c r="M585"/>
      <c r="N585"/>
      <c r="O585"/>
      <c r="P585" s="72"/>
      <c r="Q585" s="72"/>
      <c r="R585" s="72"/>
      <c r="S585" s="72"/>
      <c r="T585" s="72"/>
      <c r="U585" s="72"/>
      <c r="V585" s="72"/>
      <c r="W585" s="72"/>
      <c r="X585" s="72"/>
      <c r="Y585" s="72"/>
      <c r="Z585" s="72"/>
      <c r="AA585" s="72"/>
    </row>
    <row r="586" spans="1:27" x14ac:dyDescent="0.35">
      <c r="A586"/>
      <c r="B586" s="97"/>
      <c r="C586"/>
      <c r="D586"/>
      <c r="E586" s="88"/>
      <c r="F586"/>
      <c r="G586"/>
      <c r="H586"/>
      <c r="I586"/>
      <c r="J586"/>
      <c r="K586"/>
      <c r="L586"/>
      <c r="M586"/>
      <c r="N586"/>
      <c r="O586"/>
      <c r="P586" s="72"/>
      <c r="Q586" s="72"/>
      <c r="R586" s="72"/>
      <c r="S586" s="72"/>
      <c r="T586" s="72"/>
      <c r="U586" s="72"/>
      <c r="V586" s="72"/>
      <c r="W586" s="72"/>
      <c r="X586" s="72"/>
      <c r="Y586" s="72"/>
      <c r="Z586" s="72"/>
      <c r="AA586" s="72"/>
    </row>
    <row r="587" spans="1:27" x14ac:dyDescent="0.35">
      <c r="A587"/>
      <c r="B587" s="97"/>
      <c r="C587"/>
      <c r="D587"/>
      <c r="E587" s="88"/>
      <c r="F587"/>
      <c r="G587"/>
      <c r="H587"/>
      <c r="I587"/>
      <c r="J587"/>
      <c r="K587"/>
      <c r="L587"/>
      <c r="M587"/>
      <c r="N587"/>
      <c r="O587"/>
      <c r="P587" s="72"/>
      <c r="Q587" s="72"/>
      <c r="R587" s="72"/>
      <c r="S587" s="72"/>
      <c r="T587" s="72"/>
      <c r="U587" s="72"/>
      <c r="V587" s="72"/>
      <c r="W587" s="72"/>
      <c r="X587" s="72"/>
      <c r="Y587" s="72"/>
      <c r="Z587" s="72"/>
      <c r="AA587" s="72"/>
    </row>
    <row r="588" spans="1:27" x14ac:dyDescent="0.35">
      <c r="A588"/>
      <c r="B588" s="97"/>
      <c r="C588"/>
      <c r="D588"/>
      <c r="E588" s="88"/>
      <c r="F588"/>
      <c r="G588"/>
      <c r="H588"/>
      <c r="I588"/>
      <c r="J588"/>
      <c r="K588"/>
      <c r="L588"/>
      <c r="M588"/>
      <c r="N588"/>
      <c r="O588"/>
      <c r="P588" s="72"/>
      <c r="Q588" s="72"/>
      <c r="R588" s="72"/>
      <c r="S588" s="72"/>
      <c r="T588" s="72"/>
      <c r="U588" s="72"/>
      <c r="V588" s="72"/>
      <c r="W588" s="72"/>
      <c r="X588" s="72"/>
      <c r="Y588" s="72"/>
      <c r="Z588" s="72"/>
      <c r="AA588" s="72"/>
    </row>
    <row r="589" spans="1:27" x14ac:dyDescent="0.35">
      <c r="A589"/>
      <c r="B589" s="97"/>
      <c r="C589"/>
      <c r="D589"/>
      <c r="E589" s="88"/>
      <c r="F589"/>
      <c r="G589"/>
      <c r="H589"/>
      <c r="I589"/>
      <c r="J589"/>
      <c r="K589"/>
      <c r="L589"/>
      <c r="M589"/>
      <c r="N589"/>
      <c r="O589"/>
      <c r="P589" s="72"/>
      <c r="Q589" s="72"/>
      <c r="R589" s="72"/>
      <c r="S589" s="72"/>
      <c r="T589" s="72"/>
      <c r="U589" s="72"/>
      <c r="V589" s="72"/>
      <c r="W589" s="72"/>
      <c r="X589" s="72"/>
      <c r="Y589" s="72"/>
      <c r="Z589" s="72"/>
      <c r="AA589" s="72"/>
    </row>
    <row r="590" spans="1:27" x14ac:dyDescent="0.35">
      <c r="A590"/>
      <c r="B590" s="97"/>
      <c r="C590"/>
      <c r="D590"/>
      <c r="E590" s="88"/>
      <c r="F590"/>
      <c r="G590"/>
      <c r="H590"/>
      <c r="I590"/>
      <c r="J590"/>
      <c r="K590"/>
      <c r="L590"/>
      <c r="M590"/>
      <c r="N590"/>
      <c r="O590"/>
      <c r="P590" s="72"/>
      <c r="Q590" s="72"/>
      <c r="R590" s="72"/>
      <c r="S590" s="72"/>
      <c r="T590" s="72"/>
      <c r="U590" s="72"/>
      <c r="V590" s="72"/>
      <c r="W590" s="72"/>
      <c r="X590" s="72"/>
      <c r="Y590" s="72"/>
      <c r="Z590" s="72"/>
      <c r="AA590" s="72"/>
    </row>
    <row r="591" spans="1:27" x14ac:dyDescent="0.35">
      <c r="A591"/>
      <c r="B591" s="97"/>
      <c r="C591"/>
      <c r="D591"/>
      <c r="E591" s="88"/>
      <c r="F591"/>
      <c r="G591"/>
      <c r="H591"/>
      <c r="I591"/>
      <c r="J591"/>
      <c r="K591"/>
      <c r="L591"/>
      <c r="M591"/>
      <c r="N591"/>
      <c r="O591"/>
      <c r="P591" s="72"/>
      <c r="Q591" s="72"/>
      <c r="R591" s="72"/>
      <c r="S591" s="72"/>
      <c r="T591" s="72"/>
      <c r="U591" s="72"/>
      <c r="V591" s="72"/>
      <c r="W591" s="72"/>
      <c r="X591" s="72"/>
      <c r="Y591" s="72"/>
      <c r="Z591" s="72"/>
      <c r="AA591" s="72"/>
    </row>
    <row r="592" spans="1:27" x14ac:dyDescent="0.35">
      <c r="A592"/>
      <c r="B592" s="97"/>
      <c r="C592"/>
      <c r="D592"/>
      <c r="E592" s="88"/>
      <c r="F592"/>
      <c r="G592"/>
      <c r="H592"/>
      <c r="I592"/>
      <c r="J592"/>
      <c r="K592"/>
      <c r="L592"/>
      <c r="M592"/>
      <c r="N592"/>
      <c r="O592"/>
      <c r="P592" s="72"/>
      <c r="Q592" s="72"/>
      <c r="R592" s="72"/>
      <c r="S592" s="72"/>
      <c r="T592" s="72"/>
      <c r="U592" s="72"/>
      <c r="V592" s="72"/>
      <c r="W592" s="72"/>
      <c r="X592" s="72"/>
      <c r="Y592" s="72"/>
      <c r="Z592" s="72"/>
      <c r="AA592" s="72"/>
    </row>
    <row r="593" spans="1:27" x14ac:dyDescent="0.35">
      <c r="A593"/>
      <c r="B593" s="97"/>
      <c r="C593"/>
      <c r="D593"/>
      <c r="E593" s="88"/>
      <c r="F593"/>
      <c r="G593"/>
      <c r="H593"/>
      <c r="I593"/>
      <c r="J593"/>
      <c r="K593"/>
      <c r="L593"/>
      <c r="M593"/>
      <c r="N593"/>
      <c r="O593"/>
      <c r="P593" s="72"/>
      <c r="Q593" s="72"/>
      <c r="R593" s="72"/>
      <c r="S593" s="72"/>
      <c r="T593" s="72"/>
      <c r="U593" s="72"/>
      <c r="V593" s="72"/>
      <c r="W593" s="72"/>
      <c r="X593" s="72"/>
      <c r="Y593" s="72"/>
      <c r="Z593" s="72"/>
      <c r="AA593" s="72"/>
    </row>
    <row r="594" spans="1:27" x14ac:dyDescent="0.35">
      <c r="A594"/>
      <c r="B594" s="97"/>
      <c r="C594"/>
      <c r="D594"/>
      <c r="E594" s="88"/>
      <c r="F594"/>
      <c r="G594"/>
      <c r="H594"/>
      <c r="I594"/>
      <c r="J594"/>
      <c r="K594"/>
      <c r="L594"/>
      <c r="M594"/>
      <c r="N594"/>
      <c r="O594"/>
      <c r="P594" s="72"/>
      <c r="Q594" s="72"/>
      <c r="R594" s="72"/>
      <c r="S594" s="72"/>
      <c r="T594" s="72"/>
      <c r="U594" s="72"/>
      <c r="V594" s="72"/>
      <c r="W594" s="72"/>
      <c r="X594" s="72"/>
      <c r="Y594" s="72"/>
      <c r="Z594" s="72"/>
      <c r="AA594" s="72"/>
    </row>
    <row r="595" spans="1:27" x14ac:dyDescent="0.35">
      <c r="A595"/>
      <c r="B595" s="97"/>
      <c r="C595"/>
      <c r="D595"/>
      <c r="E595" s="88"/>
      <c r="F595"/>
      <c r="G595"/>
      <c r="H595"/>
      <c r="I595"/>
      <c r="J595"/>
      <c r="K595"/>
      <c r="L595"/>
      <c r="M595"/>
      <c r="N595"/>
      <c r="O595"/>
      <c r="P595" s="72"/>
      <c r="Q595" s="72"/>
      <c r="R595" s="72"/>
      <c r="S595" s="72"/>
      <c r="T595" s="72"/>
      <c r="U595" s="72"/>
      <c r="V595" s="72"/>
      <c r="W595" s="72"/>
      <c r="X595" s="72"/>
      <c r="Y595" s="72"/>
      <c r="Z595" s="72"/>
      <c r="AA595" s="72"/>
    </row>
    <row r="596" spans="1:27" x14ac:dyDescent="0.35">
      <c r="A596"/>
      <c r="B596" s="97"/>
      <c r="C596"/>
      <c r="D596"/>
      <c r="E596" s="88"/>
      <c r="F596"/>
      <c r="G596"/>
      <c r="H596"/>
      <c r="I596"/>
      <c r="J596"/>
      <c r="K596"/>
      <c r="L596"/>
      <c r="M596"/>
      <c r="N596"/>
      <c r="O596"/>
      <c r="P596" s="72"/>
      <c r="Q596" s="72"/>
      <c r="R596" s="72"/>
      <c r="S596" s="72"/>
      <c r="T596" s="72"/>
      <c r="U596" s="72"/>
      <c r="V596" s="72"/>
      <c r="W596" s="72"/>
      <c r="X596" s="72"/>
      <c r="Y596" s="72"/>
      <c r="Z596" s="72"/>
      <c r="AA596" s="72"/>
    </row>
    <row r="597" spans="1:27" x14ac:dyDescent="0.35">
      <c r="A597"/>
      <c r="B597" s="97"/>
      <c r="C597"/>
      <c r="D597"/>
      <c r="E597" s="88"/>
      <c r="F597"/>
      <c r="G597"/>
      <c r="H597"/>
      <c r="I597"/>
      <c r="J597"/>
      <c r="K597"/>
      <c r="L597"/>
      <c r="M597"/>
      <c r="N597"/>
      <c r="O597"/>
      <c r="P597" s="72"/>
      <c r="Q597" s="72"/>
      <c r="R597" s="72"/>
      <c r="S597" s="72"/>
      <c r="T597" s="72"/>
      <c r="U597" s="72"/>
      <c r="V597" s="72"/>
      <c r="W597" s="72"/>
      <c r="X597" s="72"/>
      <c r="Y597" s="72"/>
      <c r="Z597" s="72"/>
      <c r="AA597" s="72"/>
    </row>
    <row r="598" spans="1:27" x14ac:dyDescent="0.35">
      <c r="A598"/>
      <c r="B598" s="97"/>
      <c r="C598"/>
      <c r="D598"/>
      <c r="E598" s="88"/>
      <c r="F598"/>
      <c r="G598"/>
      <c r="H598"/>
      <c r="I598"/>
      <c r="J598"/>
      <c r="K598"/>
      <c r="L598"/>
      <c r="M598"/>
      <c r="N598"/>
      <c r="O598"/>
      <c r="P598" s="72"/>
      <c r="Q598" s="72"/>
      <c r="R598" s="72"/>
      <c r="S598" s="72"/>
      <c r="T598" s="72"/>
      <c r="U598" s="72"/>
      <c r="V598" s="72"/>
      <c r="W598" s="72"/>
      <c r="X598" s="72"/>
      <c r="Y598" s="72"/>
      <c r="Z598" s="72"/>
      <c r="AA598" s="72"/>
    </row>
    <row r="599" spans="1:27" x14ac:dyDescent="0.35">
      <c r="A599"/>
      <c r="B599" s="97"/>
      <c r="C599"/>
      <c r="D599"/>
      <c r="E599" s="88"/>
      <c r="F599"/>
      <c r="G599"/>
      <c r="H599"/>
      <c r="I599"/>
      <c r="J599"/>
      <c r="K599"/>
      <c r="L599"/>
      <c r="M599"/>
      <c r="N599"/>
      <c r="O599"/>
      <c r="P599" s="72"/>
      <c r="Q599" s="72"/>
      <c r="R599" s="72"/>
      <c r="S599" s="72"/>
      <c r="T599" s="72"/>
      <c r="U599" s="72"/>
      <c r="V599" s="72"/>
      <c r="W599" s="72"/>
      <c r="X599" s="72"/>
      <c r="Y599" s="72"/>
      <c r="Z599" s="72"/>
      <c r="AA599" s="72"/>
    </row>
    <row r="600" spans="1:27" x14ac:dyDescent="0.35">
      <c r="A600"/>
      <c r="B600" s="97"/>
      <c r="C600"/>
      <c r="D600"/>
      <c r="E600" s="88"/>
      <c r="F600"/>
      <c r="G600"/>
      <c r="H600"/>
      <c r="I600"/>
      <c r="J600"/>
      <c r="K600"/>
      <c r="L600"/>
      <c r="M600"/>
      <c r="N600"/>
      <c r="O600"/>
      <c r="P600" s="72"/>
      <c r="Q600" s="72"/>
      <c r="R600" s="72"/>
      <c r="S600" s="72"/>
      <c r="T600" s="72"/>
      <c r="U600" s="72"/>
      <c r="V600" s="72"/>
      <c r="W600" s="72"/>
      <c r="X600" s="72"/>
      <c r="Y600" s="72"/>
      <c r="Z600" s="72"/>
      <c r="AA600" s="72"/>
    </row>
    <row r="601" spans="1:27" x14ac:dyDescent="0.35">
      <c r="A601"/>
      <c r="B601" s="97"/>
      <c r="C601"/>
      <c r="D601"/>
      <c r="E601" s="88"/>
      <c r="F601"/>
      <c r="G601"/>
      <c r="H601"/>
      <c r="I601"/>
      <c r="J601"/>
      <c r="K601"/>
      <c r="L601"/>
      <c r="M601"/>
      <c r="N601"/>
      <c r="O601"/>
      <c r="P601" s="72"/>
      <c r="Q601" s="72"/>
      <c r="R601" s="72"/>
      <c r="S601" s="72"/>
      <c r="T601" s="72"/>
      <c r="U601" s="72"/>
      <c r="V601" s="72"/>
      <c r="W601" s="72"/>
      <c r="X601" s="72"/>
      <c r="Y601" s="72"/>
      <c r="Z601" s="72"/>
      <c r="AA601" s="72"/>
    </row>
    <row r="602" spans="1:27" x14ac:dyDescent="0.35">
      <c r="A602"/>
      <c r="B602" s="97"/>
      <c r="C602"/>
      <c r="D602"/>
      <c r="E602" s="88"/>
      <c r="F602"/>
      <c r="G602"/>
      <c r="H602"/>
      <c r="I602"/>
      <c r="J602"/>
      <c r="K602"/>
      <c r="L602"/>
      <c r="M602"/>
      <c r="N602"/>
      <c r="O602"/>
      <c r="P602" s="72"/>
      <c r="Q602" s="72"/>
      <c r="R602" s="72"/>
      <c r="S602" s="72"/>
      <c r="T602" s="72"/>
      <c r="U602" s="72"/>
      <c r="V602" s="72"/>
      <c r="W602" s="72"/>
      <c r="X602" s="72"/>
      <c r="Y602" s="72"/>
      <c r="Z602" s="72"/>
      <c r="AA602" s="72"/>
    </row>
    <row r="603" spans="1:27" x14ac:dyDescent="0.35">
      <c r="A603"/>
      <c r="B603" s="97"/>
      <c r="C603"/>
      <c r="D603"/>
      <c r="E603" s="88"/>
      <c r="F603"/>
      <c r="G603"/>
      <c r="H603"/>
      <c r="I603"/>
      <c r="J603"/>
      <c r="K603"/>
      <c r="L603"/>
      <c r="M603"/>
      <c r="N603"/>
      <c r="O603"/>
      <c r="P603" s="72"/>
      <c r="Q603" s="72"/>
      <c r="R603" s="72"/>
      <c r="S603" s="72"/>
      <c r="T603" s="72"/>
      <c r="U603" s="72"/>
      <c r="V603" s="72"/>
      <c r="W603" s="72"/>
      <c r="X603" s="72"/>
      <c r="Y603" s="72"/>
      <c r="Z603" s="72"/>
      <c r="AA603" s="72"/>
    </row>
    <row r="604" spans="1:27" x14ac:dyDescent="0.35">
      <c r="A604"/>
      <c r="B604" s="97"/>
      <c r="C604"/>
      <c r="D604"/>
      <c r="E604" s="88"/>
      <c r="F604"/>
      <c r="G604"/>
      <c r="H604"/>
      <c r="I604"/>
      <c r="J604"/>
      <c r="K604"/>
      <c r="L604"/>
      <c r="M604"/>
      <c r="N604"/>
      <c r="O604"/>
      <c r="P604" s="72"/>
      <c r="Q604" s="72"/>
      <c r="R604" s="72"/>
      <c r="S604" s="72"/>
      <c r="T604" s="72"/>
      <c r="U604" s="72"/>
      <c r="V604" s="72"/>
      <c r="W604" s="72"/>
      <c r="X604" s="72"/>
      <c r="Y604" s="72"/>
      <c r="Z604" s="72"/>
      <c r="AA604" s="72"/>
    </row>
    <row r="605" spans="1:27" x14ac:dyDescent="0.35">
      <c r="A605"/>
      <c r="B605" s="97"/>
      <c r="C605"/>
      <c r="D605"/>
      <c r="E605" s="88"/>
      <c r="F605"/>
      <c r="G605"/>
      <c r="H605"/>
      <c r="I605"/>
      <c r="J605"/>
      <c r="K605"/>
      <c r="L605"/>
      <c r="M605"/>
      <c r="N605"/>
      <c r="O605"/>
      <c r="P605" s="72"/>
      <c r="Q605" s="72"/>
      <c r="R605" s="72"/>
      <c r="S605" s="72"/>
      <c r="T605" s="72"/>
      <c r="U605" s="72"/>
      <c r="V605" s="72"/>
      <c r="W605" s="72"/>
      <c r="X605" s="72"/>
      <c r="Y605" s="72"/>
      <c r="Z605" s="72"/>
      <c r="AA605" s="72"/>
    </row>
    <row r="606" spans="1:27" x14ac:dyDescent="0.35">
      <c r="A606"/>
      <c r="B606" s="97"/>
      <c r="C606"/>
      <c r="D606"/>
      <c r="E606" s="88"/>
      <c r="F606"/>
      <c r="G606"/>
      <c r="H606"/>
      <c r="I606"/>
      <c r="J606"/>
      <c r="K606"/>
      <c r="L606"/>
      <c r="M606"/>
      <c r="N606"/>
      <c r="O606"/>
      <c r="P606" s="72"/>
      <c r="Q606" s="72"/>
      <c r="R606" s="72"/>
      <c r="S606" s="72"/>
      <c r="T606" s="72"/>
      <c r="U606" s="72"/>
      <c r="V606" s="72"/>
      <c r="W606" s="72"/>
      <c r="X606" s="72"/>
      <c r="Y606" s="72"/>
      <c r="Z606" s="72"/>
      <c r="AA606" s="72"/>
    </row>
    <row r="607" spans="1:27" x14ac:dyDescent="0.35">
      <c r="A607"/>
      <c r="B607" s="97"/>
      <c r="C607"/>
      <c r="D607"/>
      <c r="E607" s="88"/>
      <c r="F607"/>
      <c r="G607"/>
      <c r="H607"/>
      <c r="I607"/>
      <c r="J607"/>
      <c r="K607"/>
      <c r="L607"/>
      <c r="M607"/>
      <c r="N607"/>
      <c r="O607"/>
      <c r="P607" s="72"/>
      <c r="Q607" s="72"/>
      <c r="R607" s="72"/>
      <c r="S607" s="72"/>
      <c r="T607" s="72"/>
      <c r="U607" s="72"/>
      <c r="V607" s="72"/>
      <c r="W607" s="72"/>
      <c r="X607" s="72"/>
      <c r="Y607" s="72"/>
      <c r="Z607" s="72"/>
      <c r="AA607" s="72"/>
    </row>
    <row r="608" spans="1:27" x14ac:dyDescent="0.35">
      <c r="A608"/>
      <c r="B608" s="97"/>
      <c r="C608"/>
      <c r="D608"/>
      <c r="E608" s="88"/>
      <c r="F608"/>
      <c r="G608"/>
      <c r="H608"/>
      <c r="I608"/>
      <c r="J608"/>
      <c r="K608"/>
      <c r="L608"/>
      <c r="M608"/>
      <c r="N608"/>
      <c r="O608"/>
      <c r="P608" s="72"/>
      <c r="Q608" s="72"/>
      <c r="R608" s="72"/>
      <c r="S608" s="72"/>
      <c r="T608" s="72"/>
      <c r="U608" s="72"/>
      <c r="V608" s="72"/>
      <c r="W608" s="72"/>
      <c r="X608" s="72"/>
      <c r="Y608" s="72"/>
      <c r="Z608" s="72"/>
      <c r="AA608" s="72"/>
    </row>
    <row r="609" spans="1:27" x14ac:dyDescent="0.35">
      <c r="A609"/>
      <c r="B609" s="97"/>
      <c r="C609"/>
      <c r="D609"/>
      <c r="E609" s="88"/>
      <c r="F609"/>
      <c r="G609"/>
      <c r="H609"/>
      <c r="I609"/>
      <c r="J609"/>
      <c r="K609"/>
      <c r="L609"/>
      <c r="M609"/>
      <c r="N609"/>
      <c r="O609"/>
      <c r="P609" s="72"/>
      <c r="Q609" s="72"/>
      <c r="R609" s="72"/>
      <c r="S609" s="72"/>
      <c r="T609" s="72"/>
      <c r="U609" s="72"/>
      <c r="V609" s="72"/>
      <c r="W609" s="72"/>
      <c r="X609" s="72"/>
      <c r="Y609" s="72"/>
      <c r="Z609" s="72"/>
      <c r="AA609" s="72"/>
    </row>
    <row r="610" spans="1:27" x14ac:dyDescent="0.35">
      <c r="A610"/>
      <c r="B610" s="97"/>
      <c r="C610"/>
      <c r="D610"/>
      <c r="E610" s="88"/>
      <c r="F610"/>
      <c r="G610"/>
      <c r="H610"/>
      <c r="I610"/>
      <c r="J610"/>
      <c r="K610"/>
      <c r="L610"/>
      <c r="M610"/>
      <c r="N610"/>
      <c r="O610"/>
      <c r="P610" s="72"/>
      <c r="Q610" s="72"/>
      <c r="R610" s="72"/>
      <c r="S610" s="72"/>
      <c r="T610" s="72"/>
      <c r="U610" s="72"/>
      <c r="V610" s="72"/>
      <c r="W610" s="72"/>
      <c r="X610" s="72"/>
      <c r="Y610" s="72"/>
      <c r="Z610" s="72"/>
      <c r="AA610" s="72"/>
    </row>
    <row r="611" spans="1:27" x14ac:dyDescent="0.35">
      <c r="A611"/>
      <c r="B611" s="97"/>
      <c r="C611"/>
      <c r="D611"/>
      <c r="E611" s="88"/>
      <c r="F611"/>
      <c r="G611"/>
      <c r="H611"/>
      <c r="I611"/>
      <c r="J611"/>
      <c r="K611"/>
      <c r="L611"/>
      <c r="M611"/>
      <c r="N611"/>
      <c r="O611"/>
      <c r="P611" s="72"/>
      <c r="Q611" s="72"/>
      <c r="R611" s="72"/>
      <c r="S611" s="72"/>
      <c r="T611" s="72"/>
      <c r="U611" s="72"/>
      <c r="V611" s="72"/>
      <c r="W611" s="72"/>
      <c r="X611" s="72"/>
      <c r="Y611" s="72"/>
      <c r="Z611" s="72"/>
      <c r="AA611" s="72"/>
    </row>
    <row r="612" spans="1:27" x14ac:dyDescent="0.35">
      <c r="A612"/>
      <c r="B612" s="97"/>
      <c r="C612"/>
      <c r="D612"/>
      <c r="E612" s="88"/>
      <c r="F612"/>
      <c r="G612"/>
      <c r="H612"/>
      <c r="I612"/>
      <c r="J612"/>
      <c r="K612"/>
      <c r="L612"/>
      <c r="M612"/>
      <c r="N612"/>
      <c r="O612"/>
      <c r="P612" s="72"/>
      <c r="Q612" s="72"/>
      <c r="R612" s="72"/>
      <c r="S612" s="72"/>
      <c r="T612" s="72"/>
      <c r="U612" s="72"/>
      <c r="V612" s="72"/>
      <c r="W612" s="72"/>
      <c r="X612" s="72"/>
      <c r="Y612" s="72"/>
      <c r="Z612" s="72"/>
      <c r="AA612" s="72"/>
    </row>
    <row r="613" spans="1:27" x14ac:dyDescent="0.35">
      <c r="A613"/>
      <c r="B613" s="97"/>
      <c r="C613"/>
      <c r="D613"/>
      <c r="E613" s="88"/>
      <c r="F613"/>
      <c r="G613"/>
      <c r="H613"/>
      <c r="I613"/>
      <c r="J613"/>
      <c r="K613"/>
      <c r="L613"/>
      <c r="M613"/>
      <c r="N613"/>
      <c r="O613"/>
      <c r="P613" s="72"/>
      <c r="Q613" s="72"/>
      <c r="R613" s="72"/>
      <c r="S613" s="72"/>
      <c r="T613" s="72"/>
      <c r="U613" s="72"/>
      <c r="V613" s="72"/>
      <c r="W613" s="72"/>
      <c r="X613" s="72"/>
      <c r="Y613" s="72"/>
      <c r="Z613" s="72"/>
      <c r="AA613" s="72"/>
    </row>
    <row r="614" spans="1:27" x14ac:dyDescent="0.35">
      <c r="A614"/>
      <c r="B614" s="97"/>
      <c r="C614"/>
      <c r="D614"/>
      <c r="E614" s="88"/>
      <c r="F614"/>
      <c r="G614"/>
      <c r="H614"/>
      <c r="I614"/>
      <c r="J614"/>
      <c r="K614"/>
      <c r="L614"/>
      <c r="M614"/>
      <c r="N614"/>
      <c r="O614"/>
      <c r="P614" s="72"/>
      <c r="Q614" s="72"/>
      <c r="R614" s="72"/>
      <c r="S614" s="72"/>
      <c r="T614" s="72"/>
      <c r="U614" s="72"/>
      <c r="V614" s="72"/>
      <c r="W614" s="72"/>
      <c r="X614" s="72"/>
      <c r="Y614" s="72"/>
      <c r="Z614" s="72"/>
      <c r="AA614" s="72"/>
    </row>
    <row r="615" spans="1:27" x14ac:dyDescent="0.35">
      <c r="A615"/>
      <c r="B615" s="97"/>
      <c r="C615"/>
      <c r="D615"/>
      <c r="E615" s="88"/>
      <c r="F615"/>
      <c r="G615"/>
      <c r="H615"/>
      <c r="I615"/>
      <c r="J615"/>
      <c r="K615"/>
      <c r="L615"/>
      <c r="M615"/>
      <c r="N615"/>
      <c r="O615"/>
      <c r="P615" s="72"/>
      <c r="Q615" s="72"/>
      <c r="R615" s="72"/>
      <c r="S615" s="72"/>
      <c r="T615" s="72"/>
      <c r="U615" s="72"/>
      <c r="V615" s="72"/>
      <c r="W615" s="72"/>
      <c r="X615" s="72"/>
      <c r="Y615" s="72"/>
      <c r="Z615" s="72"/>
      <c r="AA615" s="72"/>
    </row>
    <row r="616" spans="1:27" x14ac:dyDescent="0.35">
      <c r="A616"/>
      <c r="B616" s="97"/>
      <c r="C616"/>
      <c r="D616"/>
      <c r="E616" s="88"/>
      <c r="F616"/>
      <c r="G616"/>
      <c r="H616"/>
      <c r="I616"/>
      <c r="J616"/>
      <c r="K616"/>
      <c r="L616"/>
      <c r="M616"/>
      <c r="N616"/>
      <c r="O616"/>
      <c r="P616" s="72"/>
      <c r="Q616" s="72"/>
      <c r="R616" s="72"/>
      <c r="S616" s="72"/>
      <c r="T616" s="72"/>
      <c r="U616" s="72"/>
      <c r="V616" s="72"/>
      <c r="W616" s="72"/>
      <c r="X616" s="72"/>
      <c r="Y616" s="72"/>
      <c r="Z616" s="72"/>
      <c r="AA616" s="72"/>
    </row>
    <row r="617" spans="1:27" x14ac:dyDescent="0.35">
      <c r="A617"/>
      <c r="B617" s="97"/>
      <c r="C617"/>
      <c r="D617"/>
      <c r="E617" s="88"/>
      <c r="F617"/>
      <c r="G617"/>
      <c r="H617"/>
      <c r="I617"/>
      <c r="J617"/>
      <c r="K617"/>
      <c r="L617"/>
      <c r="M617"/>
      <c r="N617"/>
      <c r="O617"/>
      <c r="P617" s="72"/>
      <c r="Q617" s="72"/>
      <c r="R617" s="72"/>
      <c r="S617" s="72"/>
      <c r="T617" s="72"/>
      <c r="U617" s="72"/>
      <c r="V617" s="72"/>
      <c r="W617" s="72"/>
      <c r="X617" s="72"/>
      <c r="Y617" s="72"/>
      <c r="Z617" s="72"/>
      <c r="AA617" s="72"/>
    </row>
    <row r="618" spans="1:27" x14ac:dyDescent="0.35">
      <c r="A618"/>
      <c r="B618" s="97"/>
      <c r="C618"/>
      <c r="D618"/>
      <c r="E618" s="88"/>
      <c r="F618"/>
      <c r="G618"/>
      <c r="H618"/>
      <c r="I618"/>
      <c r="J618"/>
      <c r="K618"/>
      <c r="L618"/>
      <c r="M618"/>
      <c r="N618"/>
      <c r="O618"/>
      <c r="P618" s="72"/>
      <c r="Q618" s="72"/>
      <c r="R618" s="72"/>
      <c r="S618" s="72"/>
      <c r="T618" s="72"/>
      <c r="U618" s="72"/>
      <c r="V618" s="72"/>
      <c r="W618" s="72"/>
      <c r="X618" s="72"/>
      <c r="Y618" s="72"/>
      <c r="Z618" s="72"/>
      <c r="AA618" s="72"/>
    </row>
    <row r="619" spans="1:27" x14ac:dyDescent="0.35">
      <c r="A619"/>
      <c r="B619" s="97"/>
      <c r="C619"/>
      <c r="D619"/>
      <c r="E619" s="88"/>
      <c r="F619"/>
      <c r="G619"/>
      <c r="H619"/>
      <c r="I619"/>
      <c r="J619"/>
      <c r="K619"/>
      <c r="L619"/>
      <c r="M619"/>
      <c r="N619"/>
      <c r="O619"/>
      <c r="P619" s="72"/>
      <c r="Q619" s="72"/>
      <c r="R619" s="72"/>
      <c r="S619" s="72"/>
      <c r="T619" s="72"/>
      <c r="U619" s="72"/>
      <c r="V619" s="72"/>
      <c r="W619" s="72"/>
      <c r="X619" s="72"/>
      <c r="Y619" s="72"/>
      <c r="Z619" s="72"/>
      <c r="AA619" s="72"/>
    </row>
    <row r="620" spans="1:27" x14ac:dyDescent="0.35">
      <c r="A620"/>
      <c r="B620" s="97"/>
      <c r="C620"/>
      <c r="D620"/>
      <c r="E620" s="88"/>
      <c r="F620"/>
      <c r="G620"/>
      <c r="H620"/>
      <c r="I620"/>
      <c r="J620"/>
      <c r="K620"/>
      <c r="L620"/>
      <c r="M620"/>
      <c r="N620"/>
      <c r="O620"/>
      <c r="P620" s="72"/>
      <c r="Q620" s="72"/>
      <c r="R620" s="72"/>
      <c r="S620" s="72"/>
      <c r="T620" s="72"/>
      <c r="U620" s="72"/>
      <c r="V620" s="72"/>
      <c r="W620" s="72"/>
      <c r="X620" s="72"/>
      <c r="Y620" s="72"/>
      <c r="Z620" s="72"/>
      <c r="AA620" s="72"/>
    </row>
    <row r="621" spans="1:27" x14ac:dyDescent="0.35">
      <c r="A621"/>
      <c r="B621" s="97"/>
      <c r="C621"/>
      <c r="D621"/>
      <c r="E621" s="88"/>
      <c r="F621"/>
      <c r="G621"/>
      <c r="H621"/>
      <c r="I621"/>
      <c r="J621"/>
      <c r="K621"/>
      <c r="L621"/>
      <c r="M621"/>
      <c r="N621"/>
      <c r="O621"/>
      <c r="P621" s="72"/>
      <c r="Q621" s="72"/>
      <c r="R621" s="72"/>
      <c r="S621" s="72"/>
      <c r="T621" s="72"/>
      <c r="U621" s="72"/>
      <c r="V621" s="72"/>
      <c r="W621" s="72"/>
      <c r="X621" s="72"/>
      <c r="Y621" s="72"/>
      <c r="Z621" s="72"/>
      <c r="AA621" s="72"/>
    </row>
    <row r="622" spans="1:27" x14ac:dyDescent="0.35">
      <c r="A622"/>
      <c r="B622" s="97"/>
      <c r="C622"/>
      <c r="D622"/>
      <c r="E622" s="88"/>
      <c r="F622"/>
      <c r="G622"/>
      <c r="H622"/>
      <c r="I622"/>
      <c r="J622"/>
      <c r="K622"/>
      <c r="L622"/>
      <c r="M622"/>
      <c r="N622"/>
      <c r="O622"/>
      <c r="P622" s="72"/>
      <c r="Q622" s="72"/>
      <c r="R622" s="72"/>
      <c r="S622" s="72"/>
      <c r="T622" s="72"/>
      <c r="U622" s="72"/>
      <c r="V622" s="72"/>
      <c r="W622" s="72"/>
      <c r="X622" s="72"/>
      <c r="Y622" s="72"/>
      <c r="Z622" s="72"/>
      <c r="AA622" s="72"/>
    </row>
    <row r="623" spans="1:27" x14ac:dyDescent="0.35">
      <c r="A623"/>
      <c r="B623" s="97"/>
      <c r="C623"/>
      <c r="D623"/>
      <c r="E623" s="88"/>
      <c r="F623"/>
      <c r="G623"/>
      <c r="H623"/>
      <c r="I623"/>
      <c r="J623"/>
      <c r="K623"/>
      <c r="L623"/>
      <c r="M623"/>
      <c r="N623"/>
      <c r="O623"/>
      <c r="P623" s="72"/>
      <c r="Q623" s="72"/>
      <c r="R623" s="72"/>
      <c r="S623" s="72"/>
      <c r="T623" s="72"/>
      <c r="U623" s="72"/>
      <c r="V623" s="72"/>
      <c r="W623" s="72"/>
      <c r="X623" s="72"/>
      <c r="Y623" s="72"/>
      <c r="Z623" s="72"/>
      <c r="AA623" s="72"/>
    </row>
    <row r="624" spans="1:27" x14ac:dyDescent="0.35">
      <c r="A624"/>
      <c r="B624" s="97"/>
      <c r="C624"/>
      <c r="D624"/>
      <c r="E624" s="88"/>
      <c r="F624"/>
      <c r="G624"/>
      <c r="H624"/>
      <c r="I624"/>
      <c r="J624"/>
      <c r="K624"/>
      <c r="L624"/>
      <c r="M624"/>
      <c r="N624"/>
      <c r="O624"/>
      <c r="P624" s="72"/>
      <c r="Q624" s="72"/>
      <c r="R624" s="72"/>
      <c r="S624" s="72"/>
      <c r="T624" s="72"/>
      <c r="U624" s="72"/>
      <c r="V624" s="72"/>
      <c r="W624" s="72"/>
      <c r="X624" s="72"/>
      <c r="Y624" s="72"/>
      <c r="Z624" s="72"/>
      <c r="AA624" s="72"/>
    </row>
    <row r="625" spans="1:27" x14ac:dyDescent="0.35">
      <c r="A625"/>
      <c r="B625" s="97"/>
      <c r="C625"/>
      <c r="D625"/>
      <c r="E625" s="88"/>
      <c r="F625"/>
      <c r="G625"/>
      <c r="H625"/>
      <c r="I625"/>
      <c r="J625"/>
      <c r="K625"/>
      <c r="L625"/>
      <c r="M625"/>
      <c r="N625"/>
      <c r="O625"/>
      <c r="P625" s="72"/>
      <c r="Q625" s="72"/>
      <c r="R625" s="72"/>
      <c r="S625" s="72"/>
      <c r="T625" s="72"/>
      <c r="U625" s="72"/>
      <c r="V625" s="72"/>
      <c r="W625" s="72"/>
      <c r="X625" s="72"/>
      <c r="Y625" s="72"/>
      <c r="Z625" s="72"/>
      <c r="AA625" s="72"/>
    </row>
    <row r="626" spans="1:27" x14ac:dyDescent="0.35">
      <c r="A626"/>
      <c r="B626" s="97"/>
      <c r="C626"/>
      <c r="D626"/>
      <c r="E626" s="88"/>
      <c r="F626"/>
      <c r="G626"/>
      <c r="H626"/>
      <c r="I626"/>
      <c r="J626"/>
      <c r="K626"/>
      <c r="L626"/>
      <c r="M626"/>
      <c r="N626"/>
      <c r="O626"/>
      <c r="P626" s="72"/>
      <c r="Q626" s="72"/>
      <c r="R626" s="72"/>
      <c r="S626" s="72"/>
      <c r="T626" s="72"/>
      <c r="U626" s="72"/>
      <c r="V626" s="72"/>
      <c r="W626" s="72"/>
      <c r="X626" s="72"/>
      <c r="Y626" s="72"/>
      <c r="Z626" s="72"/>
      <c r="AA626" s="72"/>
    </row>
    <row r="627" spans="1:27" x14ac:dyDescent="0.35">
      <c r="A627"/>
      <c r="B627" s="97"/>
      <c r="C627"/>
      <c r="D627"/>
      <c r="E627" s="88"/>
      <c r="F627"/>
      <c r="G627"/>
      <c r="H627"/>
      <c r="I627"/>
      <c r="J627"/>
      <c r="K627"/>
      <c r="L627"/>
      <c r="M627"/>
      <c r="N627"/>
      <c r="O627"/>
      <c r="P627" s="72"/>
      <c r="Q627" s="72"/>
      <c r="R627" s="72"/>
      <c r="S627" s="72"/>
      <c r="T627" s="72"/>
      <c r="U627" s="72"/>
      <c r="V627" s="72"/>
      <c r="W627" s="72"/>
      <c r="X627" s="72"/>
      <c r="Y627" s="72"/>
      <c r="Z627" s="72"/>
      <c r="AA627" s="72"/>
    </row>
    <row r="628" spans="1:27" x14ac:dyDescent="0.35">
      <c r="A628"/>
      <c r="B628" s="97"/>
      <c r="C628"/>
      <c r="D628"/>
      <c r="E628" s="88"/>
      <c r="F628"/>
      <c r="G628"/>
      <c r="H628"/>
      <c r="I628"/>
      <c r="J628"/>
      <c r="K628"/>
      <c r="L628"/>
      <c r="M628"/>
      <c r="N628"/>
      <c r="O628"/>
      <c r="P628" s="72"/>
      <c r="Q628" s="72"/>
      <c r="R628" s="72"/>
      <c r="S628" s="72"/>
      <c r="T628" s="72"/>
      <c r="U628" s="72"/>
      <c r="V628" s="72"/>
      <c r="W628" s="72"/>
      <c r="X628" s="72"/>
      <c r="Y628" s="72"/>
      <c r="Z628" s="72"/>
      <c r="AA628" s="72"/>
    </row>
    <row r="629" spans="1:27" x14ac:dyDescent="0.35">
      <c r="A629"/>
      <c r="B629" s="97"/>
      <c r="C629"/>
      <c r="D629"/>
      <c r="E629" s="88"/>
      <c r="F629"/>
      <c r="G629"/>
      <c r="H629"/>
      <c r="I629"/>
      <c r="J629"/>
      <c r="K629"/>
      <c r="L629"/>
      <c r="M629"/>
      <c r="N629"/>
      <c r="O629"/>
      <c r="P629" s="72"/>
      <c r="Q629" s="72"/>
      <c r="R629" s="72"/>
      <c r="S629" s="72"/>
      <c r="T629" s="72"/>
      <c r="U629" s="72"/>
      <c r="V629" s="72"/>
      <c r="W629" s="72"/>
      <c r="X629" s="72"/>
      <c r="Y629" s="72"/>
      <c r="Z629" s="72"/>
      <c r="AA629" s="72"/>
    </row>
    <row r="630" spans="1:27" x14ac:dyDescent="0.35">
      <c r="A630"/>
      <c r="B630" s="97"/>
      <c r="C630"/>
      <c r="D630"/>
      <c r="E630" s="88"/>
      <c r="F630"/>
      <c r="G630"/>
      <c r="H630"/>
      <c r="I630"/>
      <c r="J630"/>
      <c r="K630"/>
      <c r="L630"/>
      <c r="M630"/>
      <c r="N630"/>
      <c r="O630"/>
      <c r="P630" s="72"/>
      <c r="Q630" s="72"/>
      <c r="R630" s="72"/>
      <c r="S630" s="72"/>
      <c r="T630" s="72"/>
      <c r="U630" s="72"/>
      <c r="V630" s="72"/>
      <c r="W630" s="72"/>
      <c r="X630" s="72"/>
      <c r="Y630" s="72"/>
      <c r="Z630" s="72"/>
      <c r="AA630" s="72"/>
    </row>
    <row r="631" spans="1:27" x14ac:dyDescent="0.35">
      <c r="A631"/>
      <c r="B631" s="97"/>
      <c r="C631"/>
      <c r="D631"/>
      <c r="E631" s="88"/>
      <c r="F631"/>
      <c r="G631"/>
      <c r="H631"/>
      <c r="I631"/>
      <c r="J631"/>
      <c r="K631"/>
      <c r="L631"/>
      <c r="M631"/>
      <c r="N631"/>
      <c r="O631"/>
      <c r="P631" s="72"/>
      <c r="Q631" s="72"/>
      <c r="R631" s="72"/>
      <c r="S631" s="72"/>
      <c r="T631" s="72"/>
      <c r="U631" s="72"/>
      <c r="V631" s="72"/>
      <c r="W631" s="72"/>
      <c r="X631" s="72"/>
      <c r="Y631" s="72"/>
      <c r="Z631" s="72"/>
      <c r="AA631" s="72"/>
    </row>
    <row r="632" spans="1:27" x14ac:dyDescent="0.35">
      <c r="A632"/>
      <c r="B632" s="97"/>
      <c r="C632"/>
      <c r="D632"/>
      <c r="E632" s="88"/>
      <c r="F632"/>
      <c r="G632"/>
      <c r="H632"/>
      <c r="I632"/>
      <c r="J632"/>
      <c r="K632"/>
      <c r="L632"/>
      <c r="M632"/>
      <c r="N632"/>
      <c r="O632"/>
      <c r="P632" s="72"/>
      <c r="Q632" s="72"/>
      <c r="R632" s="72"/>
      <c r="S632" s="72"/>
      <c r="T632" s="72"/>
      <c r="U632" s="72"/>
      <c r="V632" s="72"/>
      <c r="W632" s="72"/>
      <c r="X632" s="72"/>
      <c r="Y632" s="72"/>
      <c r="Z632" s="72"/>
      <c r="AA632" s="72"/>
    </row>
    <row r="633" spans="1:27" x14ac:dyDescent="0.35">
      <c r="A633"/>
      <c r="B633" s="97"/>
      <c r="C633"/>
      <c r="D633"/>
      <c r="E633" s="88"/>
      <c r="F633"/>
      <c r="G633"/>
      <c r="H633"/>
      <c r="I633"/>
      <c r="J633"/>
      <c r="K633"/>
      <c r="L633"/>
      <c r="M633"/>
      <c r="N633"/>
      <c r="O633"/>
      <c r="P633" s="72"/>
      <c r="Q633" s="72"/>
      <c r="R633" s="72"/>
      <c r="S633" s="72"/>
      <c r="T633" s="72"/>
      <c r="U633" s="72"/>
      <c r="V633" s="72"/>
      <c r="W633" s="72"/>
      <c r="X633" s="72"/>
      <c r="Y633" s="72"/>
      <c r="Z633" s="72"/>
      <c r="AA633" s="72"/>
    </row>
    <row r="634" spans="1:27" x14ac:dyDescent="0.35">
      <c r="A634"/>
      <c r="B634" s="97"/>
      <c r="C634"/>
      <c r="D634"/>
      <c r="E634" s="88"/>
      <c r="F634"/>
      <c r="G634"/>
      <c r="H634"/>
      <c r="I634"/>
      <c r="J634"/>
      <c r="K634"/>
      <c r="L634"/>
      <c r="M634"/>
      <c r="N634"/>
      <c r="O634"/>
      <c r="P634" s="72"/>
      <c r="Q634" s="72"/>
      <c r="R634" s="72"/>
      <c r="S634" s="72"/>
      <c r="T634" s="72"/>
      <c r="U634" s="72"/>
      <c r="V634" s="72"/>
      <c r="W634" s="72"/>
      <c r="X634" s="72"/>
      <c r="Y634" s="72"/>
      <c r="Z634" s="72"/>
      <c r="AA634" s="72"/>
    </row>
    <row r="635" spans="1:27" x14ac:dyDescent="0.35">
      <c r="A635"/>
      <c r="B635" s="97"/>
      <c r="C635"/>
      <c r="D635"/>
      <c r="E635" s="88"/>
      <c r="F635"/>
      <c r="G635"/>
      <c r="H635"/>
      <c r="I635"/>
      <c r="J635"/>
      <c r="K635"/>
      <c r="L635"/>
      <c r="M635"/>
      <c r="N635"/>
      <c r="O635"/>
      <c r="P635" s="72"/>
      <c r="Q635" s="72"/>
      <c r="R635" s="72"/>
      <c r="S635" s="72"/>
      <c r="T635" s="72"/>
      <c r="U635" s="72"/>
      <c r="V635" s="72"/>
      <c r="W635" s="72"/>
      <c r="X635" s="72"/>
      <c r="Y635" s="72"/>
      <c r="Z635" s="72"/>
      <c r="AA635" s="72"/>
    </row>
    <row r="636" spans="1:27" x14ac:dyDescent="0.35">
      <c r="A636"/>
      <c r="B636" s="97"/>
      <c r="C636"/>
      <c r="D636"/>
      <c r="E636" s="88"/>
      <c r="F636"/>
      <c r="G636"/>
      <c r="H636"/>
      <c r="I636"/>
      <c r="J636"/>
      <c r="K636"/>
      <c r="L636"/>
      <c r="M636"/>
      <c r="N636"/>
      <c r="O636"/>
      <c r="P636" s="72"/>
      <c r="Q636" s="72"/>
      <c r="R636" s="72"/>
      <c r="S636" s="72"/>
      <c r="T636" s="72"/>
      <c r="U636" s="72"/>
      <c r="V636" s="72"/>
      <c r="W636" s="72"/>
      <c r="X636" s="72"/>
      <c r="Y636" s="72"/>
      <c r="Z636" s="72"/>
      <c r="AA636" s="72"/>
    </row>
    <row r="637" spans="1:27" x14ac:dyDescent="0.35">
      <c r="A637"/>
      <c r="B637" s="97"/>
      <c r="C637"/>
      <c r="D637"/>
      <c r="E637" s="88"/>
      <c r="F637"/>
      <c r="G637"/>
      <c r="H637"/>
      <c r="I637"/>
      <c r="J637"/>
      <c r="K637"/>
      <c r="L637"/>
      <c r="M637"/>
      <c r="N637"/>
      <c r="O637"/>
      <c r="P637" s="72"/>
      <c r="Q637" s="72"/>
      <c r="R637" s="72"/>
      <c r="S637" s="72"/>
      <c r="T637" s="72"/>
      <c r="U637" s="72"/>
      <c r="V637" s="72"/>
      <c r="W637" s="72"/>
      <c r="X637" s="72"/>
      <c r="Y637" s="72"/>
      <c r="Z637" s="72"/>
      <c r="AA637" s="72"/>
    </row>
    <row r="638" spans="1:27" x14ac:dyDescent="0.35">
      <c r="A638"/>
      <c r="B638" s="97"/>
      <c r="C638"/>
      <c r="D638"/>
      <c r="E638" s="88"/>
      <c r="F638"/>
      <c r="G638"/>
      <c r="H638"/>
      <c r="I638"/>
      <c r="J638"/>
      <c r="K638"/>
      <c r="L638"/>
      <c r="M638"/>
      <c r="N638"/>
      <c r="O638"/>
      <c r="P638" s="72"/>
      <c r="Q638" s="72"/>
      <c r="R638" s="72"/>
      <c r="S638" s="72"/>
      <c r="T638" s="72"/>
      <c r="U638" s="72"/>
      <c r="V638" s="72"/>
      <c r="W638" s="72"/>
      <c r="X638" s="72"/>
      <c r="Y638" s="72"/>
      <c r="Z638" s="72"/>
      <c r="AA638" s="72"/>
    </row>
    <row r="639" spans="1:27" x14ac:dyDescent="0.35">
      <c r="A639"/>
      <c r="B639" s="97"/>
      <c r="C639"/>
      <c r="D639"/>
      <c r="E639" s="88"/>
      <c r="F639"/>
      <c r="G639"/>
      <c r="H639"/>
      <c r="I639"/>
      <c r="J639"/>
      <c r="K639"/>
      <c r="L639"/>
      <c r="M639"/>
      <c r="N639"/>
      <c r="O639"/>
      <c r="P639" s="72"/>
      <c r="Q639" s="72"/>
      <c r="R639" s="72"/>
      <c r="S639" s="72"/>
      <c r="T639" s="72"/>
      <c r="U639" s="72"/>
      <c r="V639" s="72"/>
      <c r="W639" s="72"/>
      <c r="X639" s="72"/>
      <c r="Y639" s="72"/>
      <c r="Z639" s="72"/>
      <c r="AA639" s="72"/>
    </row>
    <row r="640" spans="1:27" x14ac:dyDescent="0.35">
      <c r="A640"/>
      <c r="B640" s="97"/>
      <c r="C640"/>
      <c r="D640"/>
      <c r="E640" s="88"/>
      <c r="F640"/>
      <c r="G640"/>
      <c r="H640"/>
      <c r="I640"/>
      <c r="J640"/>
      <c r="K640"/>
      <c r="L640"/>
      <c r="M640"/>
      <c r="N640"/>
      <c r="O640"/>
      <c r="P640" s="72"/>
      <c r="Q640" s="72"/>
      <c r="R640" s="72"/>
      <c r="S640" s="72"/>
      <c r="T640" s="72"/>
      <c r="U640" s="72"/>
      <c r="V640" s="72"/>
      <c r="W640" s="72"/>
      <c r="X640" s="72"/>
      <c r="Y640" s="72"/>
      <c r="Z640" s="72"/>
      <c r="AA640" s="72"/>
    </row>
    <row r="641" spans="1:27" x14ac:dyDescent="0.35">
      <c r="A641"/>
      <c r="B641" s="97"/>
      <c r="C641"/>
      <c r="D641"/>
      <c r="E641" s="88"/>
      <c r="F641"/>
      <c r="G641"/>
      <c r="H641"/>
      <c r="I641"/>
      <c r="J641"/>
      <c r="K641"/>
      <c r="L641"/>
      <c r="M641"/>
      <c r="N641"/>
      <c r="O641"/>
      <c r="P641" s="72"/>
      <c r="Q641" s="72"/>
      <c r="R641" s="72"/>
      <c r="S641" s="72"/>
      <c r="T641" s="72"/>
      <c r="U641" s="72"/>
      <c r="V641" s="72"/>
      <c r="W641" s="72"/>
      <c r="X641" s="72"/>
      <c r="Y641" s="72"/>
      <c r="Z641" s="72"/>
      <c r="AA641" s="72"/>
    </row>
    <row r="642" spans="1:27" x14ac:dyDescent="0.35">
      <c r="A642"/>
      <c r="B642" s="97"/>
      <c r="C642"/>
      <c r="D642"/>
      <c r="E642" s="88"/>
      <c r="F642"/>
      <c r="G642"/>
      <c r="H642"/>
      <c r="I642"/>
      <c r="J642"/>
      <c r="K642"/>
      <c r="L642"/>
      <c r="M642"/>
      <c r="N642"/>
      <c r="O642"/>
      <c r="P642" s="72"/>
      <c r="Q642" s="72"/>
      <c r="R642" s="72"/>
      <c r="S642" s="72"/>
      <c r="T642" s="72"/>
      <c r="U642" s="72"/>
      <c r="V642" s="72"/>
      <c r="W642" s="72"/>
      <c r="X642" s="72"/>
      <c r="Y642" s="72"/>
      <c r="Z642" s="72"/>
      <c r="AA642" s="72"/>
    </row>
    <row r="643" spans="1:27" x14ac:dyDescent="0.35">
      <c r="A643"/>
      <c r="B643" s="97"/>
      <c r="C643"/>
      <c r="D643"/>
      <c r="E643" s="88"/>
      <c r="F643"/>
      <c r="G643"/>
      <c r="H643"/>
      <c r="I643"/>
      <c r="J643"/>
      <c r="K643"/>
      <c r="L643"/>
      <c r="M643"/>
      <c r="N643"/>
      <c r="O643"/>
      <c r="P643" s="72"/>
      <c r="Q643" s="72"/>
      <c r="R643" s="72"/>
      <c r="S643" s="72"/>
      <c r="T643" s="72"/>
      <c r="U643" s="72"/>
      <c r="V643" s="72"/>
      <c r="W643" s="72"/>
      <c r="X643" s="72"/>
      <c r="Y643" s="72"/>
      <c r="Z643" s="72"/>
      <c r="AA643" s="72"/>
    </row>
    <row r="644" spans="1:27" x14ac:dyDescent="0.35">
      <c r="A644"/>
      <c r="B644" s="97"/>
      <c r="C644"/>
      <c r="D644"/>
      <c r="E644" s="88"/>
      <c r="F644"/>
      <c r="G644"/>
      <c r="H644"/>
      <c r="I644"/>
      <c r="J644"/>
      <c r="K644"/>
      <c r="L644"/>
      <c r="M644"/>
      <c r="N644"/>
      <c r="O644"/>
      <c r="P644" s="72"/>
      <c r="Q644" s="72"/>
      <c r="R644" s="72"/>
      <c r="S644" s="72"/>
      <c r="T644" s="72"/>
      <c r="U644" s="72"/>
      <c r="V644" s="72"/>
      <c r="W644" s="72"/>
      <c r="X644" s="72"/>
      <c r="Y644" s="72"/>
      <c r="Z644" s="72"/>
      <c r="AA644" s="72"/>
    </row>
    <row r="645" spans="1:27" x14ac:dyDescent="0.35">
      <c r="A645"/>
      <c r="B645" s="97"/>
      <c r="C645"/>
      <c r="D645"/>
      <c r="E645" s="88"/>
      <c r="F645"/>
      <c r="G645"/>
      <c r="H645"/>
      <c r="I645"/>
      <c r="J645"/>
      <c r="K645"/>
      <c r="L645"/>
      <c r="M645"/>
      <c r="N645"/>
      <c r="O645"/>
      <c r="P645" s="72"/>
      <c r="Q645" s="72"/>
      <c r="R645" s="72"/>
      <c r="S645" s="72"/>
      <c r="T645" s="72"/>
      <c r="U645" s="72"/>
      <c r="V645" s="72"/>
      <c r="W645" s="72"/>
      <c r="X645" s="72"/>
      <c r="Y645" s="72"/>
      <c r="Z645" s="72"/>
      <c r="AA645" s="72"/>
    </row>
    <row r="646" spans="1:27" x14ac:dyDescent="0.35">
      <c r="A646"/>
      <c r="B646" s="97"/>
      <c r="C646"/>
      <c r="D646"/>
      <c r="E646" s="88"/>
      <c r="F646"/>
      <c r="G646"/>
      <c r="H646"/>
      <c r="I646"/>
      <c r="J646"/>
      <c r="K646"/>
      <c r="L646"/>
      <c r="M646"/>
      <c r="N646"/>
      <c r="O646"/>
      <c r="P646" s="72"/>
      <c r="Q646" s="72"/>
      <c r="R646" s="72"/>
      <c r="S646" s="72"/>
      <c r="T646" s="72"/>
      <c r="U646" s="72"/>
      <c r="V646" s="72"/>
      <c r="W646" s="72"/>
      <c r="X646" s="72"/>
      <c r="Y646" s="72"/>
      <c r="Z646" s="72"/>
      <c r="AA646" s="72"/>
    </row>
    <row r="647" spans="1:27" x14ac:dyDescent="0.35">
      <c r="A647"/>
      <c r="B647" s="97"/>
      <c r="C647"/>
      <c r="D647"/>
      <c r="E647" s="88"/>
      <c r="F647"/>
      <c r="G647"/>
      <c r="H647"/>
      <c r="I647"/>
      <c r="J647"/>
      <c r="K647"/>
      <c r="L647"/>
      <c r="M647"/>
      <c r="N647"/>
      <c r="O647"/>
      <c r="P647" s="72"/>
      <c r="Q647" s="72"/>
      <c r="R647" s="72"/>
      <c r="S647" s="72"/>
      <c r="T647" s="72"/>
      <c r="U647" s="72"/>
      <c r="V647" s="72"/>
      <c r="W647" s="72"/>
      <c r="X647" s="72"/>
      <c r="Y647" s="72"/>
      <c r="Z647" s="72"/>
      <c r="AA647" s="72"/>
    </row>
    <row r="648" spans="1:27" x14ac:dyDescent="0.35">
      <c r="A648"/>
      <c r="B648" s="97"/>
      <c r="C648"/>
      <c r="D648"/>
      <c r="E648" s="88"/>
      <c r="F648"/>
      <c r="G648"/>
      <c r="H648"/>
      <c r="I648"/>
      <c r="J648"/>
      <c r="K648"/>
      <c r="L648"/>
      <c r="M648"/>
      <c r="N648"/>
      <c r="O648"/>
      <c r="P648" s="72"/>
      <c r="Q648" s="72"/>
      <c r="R648" s="72"/>
      <c r="S648" s="72"/>
      <c r="T648" s="72"/>
      <c r="U648" s="72"/>
      <c r="V648" s="72"/>
      <c r="W648" s="72"/>
      <c r="X648" s="72"/>
      <c r="Y648" s="72"/>
      <c r="Z648" s="72"/>
      <c r="AA648" s="72"/>
    </row>
    <row r="649" spans="1:27" x14ac:dyDescent="0.35">
      <c r="A649"/>
      <c r="B649" s="97"/>
      <c r="C649"/>
      <c r="D649"/>
      <c r="E649" s="88"/>
      <c r="F649"/>
      <c r="G649"/>
      <c r="H649"/>
      <c r="I649"/>
      <c r="J649"/>
      <c r="K649"/>
      <c r="L649"/>
      <c r="M649"/>
      <c r="N649"/>
      <c r="O649"/>
      <c r="P649" s="72"/>
      <c r="Q649" s="72"/>
      <c r="R649" s="72"/>
      <c r="S649" s="72"/>
      <c r="T649" s="72"/>
      <c r="U649" s="72"/>
      <c r="V649" s="72"/>
      <c r="W649" s="72"/>
      <c r="X649" s="72"/>
      <c r="Y649" s="72"/>
      <c r="Z649" s="72"/>
      <c r="AA649" s="72"/>
    </row>
    <row r="650" spans="1:27" x14ac:dyDescent="0.35">
      <c r="A650"/>
      <c r="B650" s="97"/>
      <c r="C650"/>
      <c r="D650"/>
      <c r="E650" s="88"/>
      <c r="F650"/>
      <c r="G650"/>
      <c r="H650"/>
      <c r="I650"/>
      <c r="J650"/>
      <c r="K650"/>
      <c r="L650"/>
      <c r="M650"/>
      <c r="N650"/>
      <c r="O650"/>
      <c r="P650" s="72"/>
      <c r="Q650" s="72"/>
      <c r="R650" s="72"/>
      <c r="S650" s="72"/>
      <c r="T650" s="72"/>
      <c r="U650" s="72"/>
      <c r="V650" s="72"/>
      <c r="W650" s="72"/>
      <c r="X650" s="72"/>
      <c r="Y650" s="72"/>
      <c r="Z650" s="72"/>
      <c r="AA650" s="72"/>
    </row>
    <row r="651" spans="1:27" x14ac:dyDescent="0.35">
      <c r="A651"/>
      <c r="B651" s="97"/>
      <c r="C651"/>
      <c r="D651"/>
      <c r="E651" s="88"/>
      <c r="F651"/>
      <c r="G651"/>
      <c r="H651"/>
      <c r="I651"/>
      <c r="J651"/>
      <c r="K651"/>
      <c r="L651"/>
      <c r="M651"/>
      <c r="N651"/>
      <c r="O651"/>
      <c r="P651" s="72"/>
      <c r="Q651" s="72"/>
      <c r="R651" s="72"/>
      <c r="S651" s="72"/>
      <c r="T651" s="72"/>
      <c r="U651" s="72"/>
      <c r="V651" s="72"/>
      <c r="W651" s="72"/>
      <c r="X651" s="72"/>
      <c r="Y651" s="72"/>
      <c r="Z651" s="72"/>
      <c r="AA651" s="72"/>
    </row>
    <row r="652" spans="1:27" x14ac:dyDescent="0.35">
      <c r="A652"/>
      <c r="B652" s="97"/>
      <c r="C652"/>
      <c r="D652"/>
      <c r="E652" s="88"/>
      <c r="F652"/>
      <c r="G652"/>
      <c r="H652"/>
      <c r="I652"/>
      <c r="J652"/>
      <c r="K652"/>
      <c r="L652"/>
      <c r="M652"/>
      <c r="N652"/>
      <c r="O652"/>
      <c r="P652" s="72"/>
      <c r="Q652" s="72"/>
      <c r="R652" s="72"/>
      <c r="S652" s="72"/>
      <c r="T652" s="72"/>
      <c r="U652" s="72"/>
      <c r="V652" s="72"/>
      <c r="W652" s="72"/>
      <c r="X652" s="72"/>
      <c r="Y652" s="72"/>
      <c r="Z652" s="72"/>
      <c r="AA652" s="72"/>
    </row>
    <row r="653" spans="1:27" x14ac:dyDescent="0.35">
      <c r="A653"/>
      <c r="B653" s="97"/>
      <c r="C653"/>
      <c r="D653"/>
      <c r="E653" s="88"/>
      <c r="F653"/>
      <c r="G653"/>
      <c r="H653"/>
      <c r="I653"/>
      <c r="J653"/>
      <c r="K653"/>
      <c r="L653"/>
      <c r="M653"/>
      <c r="N653"/>
      <c r="O653"/>
      <c r="P653" s="72"/>
      <c r="Q653" s="72"/>
      <c r="R653" s="72"/>
      <c r="S653" s="72"/>
      <c r="T653" s="72"/>
      <c r="U653" s="72"/>
      <c r="V653" s="72"/>
      <c r="W653" s="72"/>
      <c r="X653" s="72"/>
      <c r="Y653" s="72"/>
      <c r="Z653" s="72"/>
      <c r="AA653" s="72"/>
    </row>
    <row r="654" spans="1:27" x14ac:dyDescent="0.35">
      <c r="A654"/>
      <c r="B654" s="97"/>
      <c r="C654"/>
      <c r="D654"/>
      <c r="E654" s="88"/>
      <c r="F654"/>
      <c r="G654"/>
      <c r="H654"/>
      <c r="I654"/>
      <c r="J654"/>
      <c r="K654"/>
      <c r="L654"/>
      <c r="M654"/>
      <c r="N654"/>
      <c r="O654"/>
      <c r="P654" s="72"/>
      <c r="Q654" s="72"/>
      <c r="R654" s="72"/>
      <c r="S654" s="72"/>
      <c r="T654" s="72"/>
      <c r="U654" s="72"/>
      <c r="V654" s="72"/>
      <c r="W654" s="72"/>
      <c r="X654" s="72"/>
      <c r="Y654" s="72"/>
      <c r="Z654" s="72"/>
      <c r="AA654" s="72"/>
    </row>
    <row r="655" spans="1:27" x14ac:dyDescent="0.35">
      <c r="A655"/>
      <c r="B655" s="97"/>
      <c r="C655"/>
      <c r="D655"/>
      <c r="E655" s="88"/>
      <c r="F655"/>
      <c r="G655"/>
      <c r="H655"/>
      <c r="I655"/>
      <c r="J655"/>
      <c r="K655"/>
      <c r="L655"/>
      <c r="M655"/>
      <c r="N655"/>
      <c r="O655"/>
      <c r="P655" s="72"/>
      <c r="Q655" s="72"/>
      <c r="R655" s="72"/>
      <c r="S655" s="72"/>
      <c r="T655" s="72"/>
      <c r="U655" s="72"/>
      <c r="V655" s="72"/>
      <c r="W655" s="72"/>
      <c r="X655" s="72"/>
      <c r="Y655" s="72"/>
      <c r="Z655" s="72"/>
      <c r="AA655" s="72"/>
    </row>
    <row r="656" spans="1:27" x14ac:dyDescent="0.35">
      <c r="A656"/>
      <c r="B656" s="97"/>
      <c r="C656"/>
      <c r="D656"/>
      <c r="E656" s="88"/>
      <c r="F656"/>
      <c r="G656"/>
      <c r="H656"/>
      <c r="I656"/>
      <c r="J656"/>
      <c r="K656"/>
      <c r="L656"/>
      <c r="M656"/>
      <c r="N656"/>
      <c r="O656"/>
      <c r="P656" s="72"/>
      <c r="Q656" s="72"/>
      <c r="R656" s="72"/>
      <c r="S656" s="72"/>
      <c r="T656" s="72"/>
      <c r="U656" s="72"/>
      <c r="V656" s="72"/>
      <c r="W656" s="72"/>
      <c r="X656" s="72"/>
      <c r="Y656" s="72"/>
      <c r="Z656" s="72"/>
      <c r="AA656" s="72"/>
    </row>
    <row r="657" spans="1:27" x14ac:dyDescent="0.35">
      <c r="A657"/>
      <c r="B657" s="97"/>
      <c r="C657"/>
      <c r="D657"/>
      <c r="E657" s="88"/>
      <c r="F657"/>
      <c r="G657"/>
      <c r="H657"/>
      <c r="I657"/>
      <c r="J657"/>
      <c r="K657"/>
      <c r="L657"/>
      <c r="M657"/>
      <c r="N657"/>
      <c r="O657"/>
      <c r="P657" s="72"/>
      <c r="Q657" s="72"/>
      <c r="R657" s="72"/>
      <c r="S657" s="72"/>
      <c r="T657" s="72"/>
      <c r="U657" s="72"/>
      <c r="V657" s="72"/>
      <c r="W657" s="72"/>
      <c r="X657" s="72"/>
      <c r="Y657" s="72"/>
      <c r="Z657" s="72"/>
      <c r="AA657" s="72"/>
    </row>
    <row r="658" spans="1:27" x14ac:dyDescent="0.35">
      <c r="A658"/>
      <c r="B658" s="97"/>
      <c r="C658"/>
      <c r="D658"/>
      <c r="E658" s="88"/>
      <c r="F658"/>
      <c r="G658"/>
      <c r="H658"/>
      <c r="I658"/>
      <c r="J658"/>
      <c r="K658"/>
      <c r="L658"/>
      <c r="M658"/>
      <c r="N658"/>
      <c r="O658"/>
      <c r="P658" s="72"/>
      <c r="Q658" s="72"/>
      <c r="R658" s="72"/>
      <c r="S658" s="72"/>
      <c r="T658" s="72"/>
      <c r="U658" s="72"/>
      <c r="V658" s="72"/>
      <c r="W658" s="72"/>
      <c r="X658" s="72"/>
      <c r="Y658" s="72"/>
      <c r="Z658" s="72"/>
      <c r="AA658" s="72"/>
    </row>
    <row r="659" spans="1:27" x14ac:dyDescent="0.35">
      <c r="A659"/>
      <c r="B659" s="97"/>
      <c r="C659"/>
      <c r="D659"/>
      <c r="E659" s="88"/>
      <c r="F659"/>
      <c r="G659"/>
      <c r="H659"/>
      <c r="I659"/>
      <c r="J659"/>
      <c r="K659"/>
      <c r="L659"/>
      <c r="M659"/>
      <c r="N659"/>
      <c r="O659"/>
      <c r="P659" s="72"/>
      <c r="Q659" s="72"/>
      <c r="R659" s="72"/>
      <c r="S659" s="72"/>
      <c r="T659" s="72"/>
      <c r="U659" s="72"/>
      <c r="V659" s="72"/>
      <c r="W659" s="72"/>
      <c r="X659" s="72"/>
      <c r="Y659" s="72"/>
      <c r="Z659" s="72"/>
      <c r="AA659" s="72"/>
    </row>
    <row r="660" spans="1:27" x14ac:dyDescent="0.35">
      <c r="A660"/>
      <c r="B660" s="97"/>
      <c r="C660"/>
      <c r="D660"/>
      <c r="E660" s="88"/>
      <c r="F660"/>
      <c r="G660"/>
      <c r="H660"/>
      <c r="I660"/>
      <c r="J660"/>
      <c r="K660"/>
      <c r="L660"/>
      <c r="M660"/>
      <c r="N660"/>
      <c r="O660"/>
      <c r="P660" s="72"/>
      <c r="Q660" s="72"/>
      <c r="R660" s="72"/>
      <c r="S660" s="72"/>
      <c r="T660" s="72"/>
      <c r="U660" s="72"/>
      <c r="V660" s="72"/>
      <c r="W660" s="72"/>
      <c r="X660" s="72"/>
      <c r="Y660" s="72"/>
      <c r="Z660" s="72"/>
      <c r="AA660" s="72"/>
    </row>
    <row r="661" spans="1:27" x14ac:dyDescent="0.35">
      <c r="A661"/>
      <c r="B661" s="97"/>
      <c r="C661"/>
      <c r="D661"/>
      <c r="E661" s="88"/>
      <c r="F661"/>
      <c r="G661"/>
      <c r="H661"/>
      <c r="I661"/>
      <c r="J661"/>
      <c r="K661"/>
      <c r="L661"/>
      <c r="M661"/>
      <c r="N661"/>
      <c r="O661"/>
      <c r="P661" s="72"/>
      <c r="Q661" s="72"/>
      <c r="R661" s="72"/>
      <c r="S661" s="72"/>
      <c r="T661" s="72"/>
      <c r="U661" s="72"/>
      <c r="V661" s="72"/>
      <c r="W661" s="72"/>
      <c r="X661" s="72"/>
      <c r="Y661" s="72"/>
      <c r="Z661" s="72"/>
      <c r="AA661" s="72"/>
    </row>
    <row r="662" spans="1:27" x14ac:dyDescent="0.35">
      <c r="A662"/>
      <c r="B662" s="97"/>
      <c r="C662"/>
      <c r="D662"/>
      <c r="E662" s="88"/>
      <c r="F662"/>
      <c r="G662"/>
      <c r="H662"/>
      <c r="I662"/>
      <c r="J662"/>
      <c r="K662"/>
      <c r="L662"/>
      <c r="M662"/>
      <c r="N662"/>
      <c r="O662"/>
      <c r="P662" s="72"/>
      <c r="Q662" s="72"/>
      <c r="R662" s="72"/>
      <c r="S662" s="72"/>
      <c r="T662" s="72"/>
      <c r="U662" s="72"/>
      <c r="V662" s="72"/>
      <c r="W662" s="72"/>
      <c r="X662" s="72"/>
      <c r="Y662" s="72"/>
      <c r="Z662" s="72"/>
      <c r="AA662" s="72"/>
    </row>
    <row r="663" spans="1:27" x14ac:dyDescent="0.35">
      <c r="A663"/>
      <c r="B663" s="97"/>
      <c r="C663"/>
      <c r="D663"/>
      <c r="E663" s="88"/>
      <c r="F663"/>
      <c r="G663"/>
      <c r="H663"/>
      <c r="I663"/>
      <c r="J663"/>
      <c r="K663"/>
      <c r="L663"/>
      <c r="M663"/>
      <c r="N663"/>
      <c r="O663"/>
      <c r="P663" s="72"/>
      <c r="Q663" s="72"/>
      <c r="R663" s="72"/>
      <c r="S663" s="72"/>
      <c r="T663" s="72"/>
      <c r="U663" s="72"/>
      <c r="V663" s="72"/>
      <c r="W663" s="72"/>
      <c r="X663" s="72"/>
      <c r="Y663" s="72"/>
      <c r="Z663" s="72"/>
      <c r="AA663" s="72"/>
    </row>
    <row r="664" spans="1:27" x14ac:dyDescent="0.35">
      <c r="A664"/>
      <c r="B664" s="97"/>
      <c r="C664"/>
      <c r="D664"/>
      <c r="E664" s="88"/>
      <c r="F664"/>
      <c r="G664"/>
      <c r="H664"/>
      <c r="I664"/>
      <c r="J664"/>
      <c r="K664"/>
      <c r="L664"/>
      <c r="M664"/>
      <c r="N664"/>
      <c r="O664"/>
      <c r="P664" s="72"/>
      <c r="Q664" s="72"/>
      <c r="R664" s="72"/>
      <c r="S664" s="72"/>
      <c r="T664" s="72"/>
      <c r="U664" s="72"/>
      <c r="V664" s="72"/>
      <c r="W664" s="72"/>
      <c r="X664" s="72"/>
      <c r="Y664" s="72"/>
      <c r="Z664" s="72"/>
      <c r="AA664" s="72"/>
    </row>
    <row r="665" spans="1:27" x14ac:dyDescent="0.35">
      <c r="A665"/>
      <c r="B665" s="97"/>
      <c r="C665"/>
      <c r="D665"/>
      <c r="E665" s="88"/>
      <c r="F665"/>
      <c r="G665"/>
      <c r="H665"/>
      <c r="I665"/>
      <c r="J665"/>
      <c r="K665"/>
      <c r="L665"/>
      <c r="M665"/>
      <c r="N665"/>
      <c r="O665"/>
      <c r="P665" s="72"/>
      <c r="Q665" s="72"/>
      <c r="R665" s="72"/>
      <c r="S665" s="72"/>
      <c r="T665" s="72"/>
      <c r="U665" s="72"/>
      <c r="V665" s="72"/>
      <c r="W665" s="72"/>
      <c r="X665" s="72"/>
      <c r="Y665" s="72"/>
      <c r="Z665" s="72"/>
      <c r="AA665" s="72"/>
    </row>
    <row r="666" spans="1:27" x14ac:dyDescent="0.35">
      <c r="A666"/>
      <c r="B666" s="97"/>
      <c r="C666"/>
      <c r="D666"/>
      <c r="E666" s="88"/>
      <c r="F666"/>
      <c r="G666"/>
      <c r="H666"/>
      <c r="I666"/>
      <c r="J666"/>
      <c r="K666"/>
      <c r="L666"/>
      <c r="M666"/>
      <c r="N666"/>
      <c r="O666"/>
      <c r="P666" s="72"/>
      <c r="Q666" s="72"/>
      <c r="R666" s="72"/>
      <c r="S666" s="72"/>
      <c r="T666" s="72"/>
      <c r="U666" s="72"/>
      <c r="V666" s="72"/>
      <c r="W666" s="72"/>
      <c r="X666" s="72"/>
      <c r="Y666" s="72"/>
      <c r="Z666" s="72"/>
      <c r="AA666" s="72"/>
    </row>
    <row r="667" spans="1:27" x14ac:dyDescent="0.35">
      <c r="A667"/>
      <c r="B667" s="97"/>
      <c r="C667"/>
      <c r="D667"/>
      <c r="E667" s="88"/>
      <c r="F667"/>
      <c r="G667"/>
      <c r="H667"/>
      <c r="I667"/>
      <c r="J667"/>
      <c r="K667"/>
      <c r="L667"/>
      <c r="M667"/>
      <c r="N667"/>
      <c r="O667"/>
      <c r="P667" s="72"/>
      <c r="Q667" s="72"/>
      <c r="R667" s="72"/>
      <c r="S667" s="72"/>
      <c r="T667" s="72"/>
      <c r="U667" s="72"/>
      <c r="V667" s="72"/>
      <c r="W667" s="72"/>
      <c r="X667" s="72"/>
      <c r="Y667" s="72"/>
      <c r="Z667" s="72"/>
      <c r="AA667" s="72"/>
    </row>
    <row r="668" spans="1:27" x14ac:dyDescent="0.35">
      <c r="A668"/>
      <c r="B668" s="97"/>
      <c r="C668"/>
      <c r="D668"/>
      <c r="E668" s="88"/>
      <c r="F668"/>
      <c r="G668"/>
      <c r="H668"/>
      <c r="I668"/>
      <c r="J668"/>
      <c r="K668"/>
      <c r="L668"/>
      <c r="M668"/>
      <c r="N668"/>
      <c r="O668"/>
      <c r="P668" s="72"/>
      <c r="Q668" s="72"/>
      <c r="R668" s="72"/>
      <c r="S668" s="72"/>
      <c r="T668" s="72"/>
      <c r="U668" s="72"/>
      <c r="V668" s="72"/>
      <c r="W668" s="72"/>
      <c r="X668" s="72"/>
      <c r="Y668" s="72"/>
      <c r="Z668" s="72"/>
      <c r="AA668" s="72"/>
    </row>
    <row r="669" spans="1:27" x14ac:dyDescent="0.35">
      <c r="A669"/>
      <c r="B669" s="97"/>
      <c r="C669"/>
      <c r="D669"/>
      <c r="E669" s="88"/>
      <c r="F669"/>
      <c r="G669"/>
      <c r="H669"/>
      <c r="I669"/>
      <c r="J669"/>
      <c r="K669"/>
      <c r="L669"/>
      <c r="M669"/>
      <c r="N669"/>
      <c r="O669"/>
      <c r="P669" s="72"/>
      <c r="Q669" s="72"/>
      <c r="R669" s="72"/>
      <c r="S669" s="72"/>
      <c r="T669" s="72"/>
      <c r="U669" s="72"/>
      <c r="V669" s="72"/>
      <c r="W669" s="72"/>
      <c r="X669" s="72"/>
      <c r="Y669" s="72"/>
      <c r="Z669" s="72"/>
      <c r="AA669" s="72"/>
    </row>
    <row r="670" spans="1:27" x14ac:dyDescent="0.35">
      <c r="A670"/>
      <c r="B670" s="97"/>
      <c r="C670"/>
      <c r="D670"/>
      <c r="E670" s="88"/>
      <c r="F670"/>
      <c r="G670"/>
      <c r="H670"/>
      <c r="I670"/>
      <c r="J670"/>
      <c r="K670"/>
      <c r="L670"/>
      <c r="M670"/>
      <c r="N670"/>
      <c r="O670"/>
      <c r="P670" s="72"/>
      <c r="Q670" s="72"/>
      <c r="R670" s="72"/>
      <c r="S670" s="72"/>
      <c r="T670" s="72"/>
      <c r="U670" s="72"/>
      <c r="V670" s="72"/>
      <c r="W670" s="72"/>
      <c r="X670" s="72"/>
      <c r="Y670" s="72"/>
      <c r="Z670" s="72"/>
      <c r="AA670" s="72"/>
    </row>
    <row r="671" spans="1:27" x14ac:dyDescent="0.35">
      <c r="A671"/>
      <c r="B671" s="97"/>
      <c r="C671"/>
      <c r="D671"/>
      <c r="E671" s="88"/>
      <c r="F671"/>
      <c r="G671"/>
      <c r="H671"/>
      <c r="I671"/>
      <c r="J671"/>
      <c r="K671"/>
      <c r="L671"/>
      <c r="M671"/>
      <c r="N671"/>
      <c r="O671"/>
      <c r="P671" s="72"/>
      <c r="Q671" s="72"/>
      <c r="R671" s="72"/>
      <c r="S671" s="72"/>
      <c r="T671" s="72"/>
      <c r="U671" s="72"/>
      <c r="V671" s="72"/>
      <c r="W671" s="72"/>
      <c r="X671" s="72"/>
      <c r="Y671" s="72"/>
      <c r="Z671" s="72"/>
      <c r="AA671" s="72"/>
    </row>
    <row r="672" spans="1:27" x14ac:dyDescent="0.35">
      <c r="A672"/>
      <c r="B672" s="97"/>
      <c r="C672"/>
      <c r="D672"/>
      <c r="E672" s="88"/>
      <c r="F672"/>
      <c r="G672"/>
      <c r="H672"/>
      <c r="I672"/>
      <c r="J672"/>
      <c r="K672"/>
      <c r="L672"/>
      <c r="M672"/>
      <c r="N672"/>
      <c r="O672"/>
      <c r="P672" s="72"/>
      <c r="Q672" s="72"/>
      <c r="R672" s="72"/>
      <c r="S672" s="72"/>
      <c r="T672" s="72"/>
      <c r="U672" s="72"/>
      <c r="V672" s="72"/>
      <c r="W672" s="72"/>
      <c r="X672" s="72"/>
      <c r="Y672" s="72"/>
      <c r="Z672" s="72"/>
      <c r="AA672" s="72"/>
    </row>
    <row r="673" spans="1:27" x14ac:dyDescent="0.35">
      <c r="A673"/>
      <c r="B673" s="97"/>
      <c r="C673"/>
      <c r="D673"/>
      <c r="E673" s="88"/>
      <c r="F673"/>
      <c r="G673"/>
      <c r="H673"/>
      <c r="I673"/>
      <c r="J673"/>
      <c r="K673"/>
      <c r="L673"/>
      <c r="M673"/>
      <c r="N673"/>
      <c r="O673"/>
      <c r="P673" s="72"/>
      <c r="Q673" s="72"/>
      <c r="R673" s="72"/>
      <c r="S673" s="72"/>
      <c r="T673" s="72"/>
      <c r="U673" s="72"/>
      <c r="V673" s="72"/>
      <c r="W673" s="72"/>
      <c r="X673" s="72"/>
      <c r="Y673" s="72"/>
      <c r="Z673" s="72"/>
      <c r="AA673" s="72"/>
    </row>
    <row r="674" spans="1:27" x14ac:dyDescent="0.35">
      <c r="A674"/>
      <c r="B674" s="97"/>
      <c r="C674"/>
      <c r="D674"/>
      <c r="E674" s="88"/>
      <c r="F674"/>
      <c r="G674"/>
      <c r="H674"/>
      <c r="I674"/>
      <c r="J674"/>
      <c r="K674"/>
      <c r="L674"/>
      <c r="M674"/>
      <c r="N674"/>
      <c r="O674"/>
      <c r="P674" s="72"/>
      <c r="Q674" s="72"/>
      <c r="R674" s="72"/>
      <c r="S674" s="72"/>
      <c r="T674" s="72"/>
      <c r="U674" s="72"/>
      <c r="V674" s="72"/>
      <c r="W674" s="72"/>
      <c r="X674" s="72"/>
      <c r="Y674" s="72"/>
      <c r="Z674" s="72"/>
      <c r="AA674" s="72"/>
    </row>
    <row r="675" spans="1:27" x14ac:dyDescent="0.35">
      <c r="A675"/>
      <c r="B675" s="97"/>
      <c r="C675"/>
      <c r="D675"/>
      <c r="E675" s="88"/>
      <c r="F675"/>
      <c r="G675"/>
      <c r="H675"/>
      <c r="I675"/>
      <c r="J675"/>
      <c r="K675"/>
      <c r="L675"/>
      <c r="M675"/>
      <c r="N675"/>
      <c r="O675"/>
      <c r="P675" s="72"/>
      <c r="Q675" s="72"/>
      <c r="R675" s="72"/>
      <c r="S675" s="72"/>
      <c r="T675" s="72"/>
      <c r="U675" s="72"/>
      <c r="V675" s="72"/>
      <c r="W675" s="72"/>
      <c r="X675" s="72"/>
      <c r="Y675" s="72"/>
      <c r="Z675" s="72"/>
      <c r="AA675" s="72"/>
    </row>
    <row r="676" spans="1:27" x14ac:dyDescent="0.35">
      <c r="A676"/>
      <c r="B676" s="97"/>
      <c r="C676"/>
      <c r="D676"/>
      <c r="E676" s="88"/>
      <c r="F676"/>
      <c r="G676"/>
      <c r="H676"/>
      <c r="I676"/>
      <c r="J676"/>
      <c r="K676"/>
      <c r="L676"/>
      <c r="M676"/>
      <c r="N676"/>
      <c r="O676"/>
      <c r="P676" s="72"/>
      <c r="Q676" s="72"/>
      <c r="R676" s="72"/>
      <c r="S676" s="72"/>
      <c r="T676" s="72"/>
      <c r="U676" s="72"/>
      <c r="V676" s="72"/>
      <c r="W676" s="72"/>
      <c r="X676" s="72"/>
      <c r="Y676" s="72"/>
      <c r="Z676" s="72"/>
      <c r="AA676" s="72"/>
    </row>
    <row r="677" spans="1:27" x14ac:dyDescent="0.35">
      <c r="A677"/>
      <c r="B677" s="97"/>
      <c r="C677"/>
      <c r="D677"/>
      <c r="E677" s="88"/>
      <c r="F677"/>
      <c r="G677"/>
      <c r="H677"/>
      <c r="I677"/>
      <c r="J677"/>
      <c r="K677"/>
      <c r="L677"/>
      <c r="M677"/>
      <c r="N677"/>
      <c r="O677"/>
      <c r="P677" s="72"/>
      <c r="Q677" s="72"/>
      <c r="R677" s="72"/>
      <c r="S677" s="72"/>
      <c r="T677" s="72"/>
      <c r="U677" s="72"/>
      <c r="V677" s="72"/>
      <c r="W677" s="72"/>
      <c r="X677" s="72"/>
      <c r="Y677" s="72"/>
      <c r="Z677" s="72"/>
      <c r="AA677" s="72"/>
    </row>
    <row r="678" spans="1:27" x14ac:dyDescent="0.35">
      <c r="A678"/>
      <c r="B678" s="97"/>
      <c r="C678"/>
      <c r="D678"/>
      <c r="E678" s="88"/>
      <c r="F678"/>
      <c r="G678"/>
      <c r="H678"/>
      <c r="I678"/>
      <c r="J678"/>
      <c r="K678"/>
      <c r="L678"/>
      <c r="M678"/>
      <c r="N678"/>
      <c r="O678"/>
      <c r="P678" s="72"/>
      <c r="Q678" s="72"/>
      <c r="R678" s="72"/>
      <c r="S678" s="72"/>
      <c r="T678" s="72"/>
      <c r="U678" s="72"/>
      <c r="V678" s="72"/>
      <c r="W678" s="72"/>
      <c r="X678" s="72"/>
      <c r="Y678" s="72"/>
      <c r="Z678" s="72"/>
      <c r="AA678" s="72"/>
    </row>
    <row r="679" spans="1:27" x14ac:dyDescent="0.35">
      <c r="A679"/>
      <c r="B679" s="97"/>
      <c r="C679"/>
      <c r="D679"/>
      <c r="E679" s="88"/>
      <c r="F679"/>
      <c r="G679"/>
      <c r="H679"/>
      <c r="I679"/>
      <c r="J679"/>
      <c r="K679"/>
      <c r="L679"/>
      <c r="M679"/>
      <c r="N679"/>
      <c r="O679"/>
      <c r="P679" s="72"/>
      <c r="Q679" s="72"/>
      <c r="R679" s="72"/>
      <c r="S679" s="72"/>
      <c r="T679" s="72"/>
      <c r="U679" s="72"/>
      <c r="V679" s="72"/>
      <c r="W679" s="72"/>
      <c r="X679" s="72"/>
      <c r="Y679" s="72"/>
      <c r="Z679" s="72"/>
      <c r="AA679" s="72"/>
    </row>
    <row r="680" spans="1:27" x14ac:dyDescent="0.35">
      <c r="A680"/>
      <c r="B680" s="97"/>
      <c r="C680"/>
      <c r="D680"/>
      <c r="E680" s="88"/>
      <c r="F680"/>
      <c r="G680"/>
      <c r="H680"/>
      <c r="I680"/>
      <c r="J680"/>
      <c r="K680"/>
      <c r="L680"/>
      <c r="M680"/>
      <c r="N680"/>
      <c r="O680"/>
      <c r="P680" s="72"/>
      <c r="Q680" s="72"/>
      <c r="R680" s="72"/>
      <c r="S680" s="72"/>
      <c r="T680" s="72"/>
      <c r="U680" s="72"/>
      <c r="V680" s="72"/>
      <c r="W680" s="72"/>
      <c r="X680" s="72"/>
      <c r="Y680" s="72"/>
      <c r="Z680" s="72"/>
      <c r="AA680" s="72"/>
    </row>
    <row r="681" spans="1:27" x14ac:dyDescent="0.35">
      <c r="A681"/>
      <c r="B681" s="97"/>
      <c r="C681"/>
      <c r="D681"/>
      <c r="E681" s="88"/>
      <c r="F681"/>
      <c r="G681"/>
      <c r="H681"/>
      <c r="I681"/>
      <c r="J681"/>
      <c r="K681"/>
      <c r="L681"/>
      <c r="M681"/>
      <c r="N681"/>
      <c r="O681"/>
      <c r="P681" s="72"/>
      <c r="Q681" s="72"/>
      <c r="R681" s="72"/>
      <c r="S681" s="72"/>
      <c r="T681" s="72"/>
      <c r="U681" s="72"/>
      <c r="V681" s="72"/>
      <c r="W681" s="72"/>
      <c r="X681" s="72"/>
      <c r="Y681" s="72"/>
      <c r="Z681" s="72"/>
      <c r="AA681" s="72"/>
    </row>
    <row r="682" spans="1:27" x14ac:dyDescent="0.35">
      <c r="A682"/>
      <c r="B682" s="97"/>
      <c r="C682"/>
      <c r="D682"/>
      <c r="E682" s="88"/>
      <c r="F682"/>
      <c r="G682"/>
      <c r="H682"/>
      <c r="I682"/>
      <c r="J682"/>
      <c r="K682"/>
      <c r="L682"/>
      <c r="M682"/>
      <c r="N682"/>
      <c r="O682"/>
      <c r="P682" s="72"/>
      <c r="Q682" s="72"/>
      <c r="R682" s="72"/>
      <c r="S682" s="72"/>
      <c r="T682" s="72"/>
      <c r="U682" s="72"/>
      <c r="V682" s="72"/>
      <c r="W682" s="72"/>
      <c r="X682" s="72"/>
      <c r="Y682" s="72"/>
      <c r="Z682" s="72"/>
      <c r="AA682" s="72"/>
    </row>
    <row r="683" spans="1:27" x14ac:dyDescent="0.35">
      <c r="A683"/>
      <c r="B683" s="97"/>
      <c r="C683"/>
      <c r="D683"/>
      <c r="E683" s="88"/>
      <c r="F683"/>
      <c r="G683"/>
      <c r="H683"/>
      <c r="I683"/>
      <c r="J683"/>
      <c r="K683"/>
      <c r="L683"/>
      <c r="M683"/>
      <c r="N683"/>
      <c r="O683"/>
      <c r="P683" s="72"/>
      <c r="Q683" s="72"/>
      <c r="R683" s="72"/>
      <c r="S683" s="72"/>
      <c r="T683" s="72"/>
      <c r="U683" s="72"/>
      <c r="V683" s="72"/>
      <c r="W683" s="72"/>
      <c r="X683" s="72"/>
      <c r="Y683" s="72"/>
      <c r="Z683" s="72"/>
      <c r="AA683" s="72"/>
    </row>
    <row r="684" spans="1:27" x14ac:dyDescent="0.35">
      <c r="A684"/>
      <c r="B684" s="97"/>
      <c r="C684"/>
      <c r="D684"/>
      <c r="E684" s="88"/>
      <c r="F684"/>
      <c r="G684"/>
      <c r="H684"/>
      <c r="I684"/>
      <c r="J684"/>
      <c r="K684"/>
      <c r="L684"/>
      <c r="M684"/>
      <c r="N684"/>
      <c r="O684"/>
      <c r="P684" s="72"/>
      <c r="Q684" s="72"/>
      <c r="R684" s="72"/>
      <c r="S684" s="72"/>
      <c r="T684" s="72"/>
      <c r="U684" s="72"/>
      <c r="V684" s="72"/>
      <c r="W684" s="72"/>
      <c r="X684" s="72"/>
      <c r="Y684" s="72"/>
      <c r="Z684" s="72"/>
      <c r="AA684" s="72"/>
    </row>
    <row r="685" spans="1:27" x14ac:dyDescent="0.35">
      <c r="A685"/>
      <c r="B685" s="97"/>
      <c r="C685"/>
      <c r="D685"/>
      <c r="E685" s="88"/>
      <c r="F685"/>
      <c r="G685"/>
      <c r="H685"/>
      <c r="I685"/>
      <c r="J685"/>
      <c r="K685"/>
      <c r="L685"/>
      <c r="M685"/>
      <c r="N685"/>
      <c r="O685"/>
      <c r="P685" s="72"/>
      <c r="Q685" s="72"/>
      <c r="R685" s="72"/>
      <c r="S685" s="72"/>
      <c r="T685" s="72"/>
      <c r="U685" s="72"/>
      <c r="V685" s="72"/>
      <c r="W685" s="72"/>
      <c r="X685" s="72"/>
      <c r="Y685" s="72"/>
      <c r="Z685" s="72"/>
      <c r="AA685" s="72"/>
    </row>
    <row r="686" spans="1:27" x14ac:dyDescent="0.35">
      <c r="A686"/>
      <c r="B686" s="97"/>
      <c r="C686"/>
      <c r="D686"/>
      <c r="E686" s="88"/>
      <c r="F686"/>
      <c r="G686"/>
      <c r="H686"/>
      <c r="I686"/>
      <c r="J686"/>
      <c r="K686"/>
      <c r="L686"/>
      <c r="M686"/>
      <c r="N686"/>
      <c r="O686"/>
      <c r="P686" s="72"/>
      <c r="Q686" s="72"/>
      <c r="R686" s="72"/>
      <c r="S686" s="72"/>
      <c r="T686" s="72"/>
      <c r="U686" s="72"/>
      <c r="V686" s="72"/>
      <c r="W686" s="72"/>
      <c r="X686" s="72"/>
      <c r="Y686" s="72"/>
      <c r="Z686" s="72"/>
      <c r="AA686" s="72"/>
    </row>
    <row r="687" spans="1:27" x14ac:dyDescent="0.35">
      <c r="A687"/>
      <c r="B687" s="97"/>
      <c r="C687"/>
      <c r="D687"/>
      <c r="E687" s="88"/>
      <c r="F687"/>
      <c r="G687"/>
      <c r="H687"/>
      <c r="I687"/>
      <c r="J687"/>
      <c r="K687"/>
      <c r="L687"/>
      <c r="M687"/>
      <c r="N687"/>
      <c r="O687"/>
      <c r="P687" s="72"/>
      <c r="Q687" s="72"/>
      <c r="R687" s="72"/>
      <c r="S687" s="72"/>
      <c r="T687" s="72"/>
      <c r="U687" s="72"/>
      <c r="V687" s="72"/>
      <c r="W687" s="72"/>
      <c r="X687" s="72"/>
      <c r="Y687" s="72"/>
      <c r="Z687" s="72"/>
      <c r="AA687" s="72"/>
    </row>
    <row r="688" spans="1:27" x14ac:dyDescent="0.35">
      <c r="A688"/>
      <c r="B688" s="97"/>
      <c r="C688"/>
      <c r="D688"/>
      <c r="E688" s="88"/>
      <c r="F688"/>
      <c r="G688"/>
      <c r="H688"/>
      <c r="I688"/>
      <c r="J688"/>
      <c r="K688"/>
      <c r="L688"/>
      <c r="M688"/>
      <c r="N688"/>
      <c r="O688"/>
      <c r="P688" s="72"/>
      <c r="Q688" s="72"/>
      <c r="R688" s="72"/>
      <c r="S688" s="72"/>
      <c r="T688" s="72"/>
      <c r="U688" s="72"/>
      <c r="V688" s="72"/>
      <c r="W688" s="72"/>
      <c r="X688" s="72"/>
      <c r="Y688" s="72"/>
      <c r="Z688" s="72"/>
      <c r="AA688" s="72"/>
    </row>
    <row r="689" spans="1:27" x14ac:dyDescent="0.35">
      <c r="A689"/>
      <c r="B689" s="97"/>
      <c r="C689"/>
      <c r="D689"/>
      <c r="E689" s="88"/>
      <c r="F689"/>
      <c r="G689"/>
      <c r="H689"/>
      <c r="I689"/>
      <c r="J689"/>
      <c r="K689"/>
      <c r="L689"/>
      <c r="M689"/>
      <c r="N689"/>
      <c r="O689"/>
      <c r="P689" s="72"/>
      <c r="Q689" s="72"/>
      <c r="R689" s="72"/>
      <c r="S689" s="72"/>
      <c r="T689" s="72"/>
      <c r="U689" s="72"/>
      <c r="V689" s="72"/>
      <c r="W689" s="72"/>
      <c r="X689" s="72"/>
      <c r="Y689" s="72"/>
      <c r="Z689" s="72"/>
      <c r="AA689" s="72"/>
    </row>
    <row r="690" spans="1:27" x14ac:dyDescent="0.35">
      <c r="A690"/>
      <c r="B690" s="97"/>
      <c r="C690"/>
      <c r="D690"/>
      <c r="E690" s="88"/>
      <c r="F690"/>
      <c r="G690"/>
      <c r="H690"/>
      <c r="I690"/>
      <c r="J690"/>
      <c r="K690"/>
      <c r="L690"/>
      <c r="M690"/>
      <c r="N690"/>
      <c r="O690"/>
      <c r="P690" s="72"/>
      <c r="Q690" s="72"/>
      <c r="R690" s="72"/>
      <c r="S690" s="72"/>
      <c r="T690" s="72"/>
      <c r="U690" s="72"/>
      <c r="V690" s="72"/>
      <c r="W690" s="72"/>
      <c r="X690" s="72"/>
      <c r="Y690" s="72"/>
      <c r="Z690" s="72"/>
      <c r="AA690" s="72"/>
    </row>
    <row r="691" spans="1:27" x14ac:dyDescent="0.35">
      <c r="A691"/>
      <c r="B691" s="97"/>
      <c r="C691"/>
      <c r="D691"/>
      <c r="E691" s="88"/>
      <c r="F691"/>
      <c r="G691"/>
      <c r="H691"/>
      <c r="I691"/>
      <c r="J691"/>
      <c r="K691"/>
      <c r="L691"/>
      <c r="M691"/>
      <c r="N691"/>
      <c r="O691"/>
      <c r="P691" s="72"/>
      <c r="Q691" s="72"/>
      <c r="R691" s="72"/>
      <c r="S691" s="72"/>
      <c r="T691" s="72"/>
      <c r="U691" s="72"/>
      <c r="V691" s="72"/>
      <c r="W691" s="72"/>
      <c r="X691" s="72"/>
      <c r="Y691" s="72"/>
      <c r="Z691" s="72"/>
      <c r="AA691" s="72"/>
    </row>
    <row r="692" spans="1:27" x14ac:dyDescent="0.35">
      <c r="A692"/>
      <c r="B692" s="97"/>
      <c r="C692"/>
      <c r="D692"/>
      <c r="E692" s="88"/>
      <c r="F692"/>
      <c r="G692"/>
      <c r="H692"/>
      <c r="I692"/>
      <c r="J692"/>
      <c r="K692"/>
      <c r="L692"/>
      <c r="M692"/>
      <c r="N692"/>
      <c r="O692"/>
      <c r="P692" s="72"/>
      <c r="Q692" s="72"/>
      <c r="R692" s="72"/>
      <c r="S692" s="72"/>
      <c r="T692" s="72"/>
      <c r="U692" s="72"/>
      <c r="V692" s="72"/>
      <c r="W692" s="72"/>
      <c r="X692" s="72"/>
      <c r="Y692" s="72"/>
      <c r="Z692" s="72"/>
      <c r="AA692" s="72"/>
    </row>
    <row r="693" spans="1:27" x14ac:dyDescent="0.35">
      <c r="A693"/>
      <c r="B693" s="97"/>
      <c r="C693"/>
      <c r="D693"/>
      <c r="E693" s="88"/>
      <c r="F693"/>
      <c r="G693"/>
      <c r="H693"/>
      <c r="I693"/>
      <c r="J693"/>
      <c r="K693"/>
      <c r="L693"/>
      <c r="M693"/>
      <c r="N693"/>
      <c r="O693"/>
      <c r="P693" s="72"/>
      <c r="Q693" s="72"/>
      <c r="R693" s="72"/>
      <c r="S693" s="72"/>
      <c r="T693" s="72"/>
      <c r="U693" s="72"/>
      <c r="V693" s="72"/>
      <c r="W693" s="72"/>
      <c r="X693" s="72"/>
      <c r="Y693" s="72"/>
      <c r="Z693" s="72"/>
      <c r="AA693" s="72"/>
    </row>
    <row r="694" spans="1:27" x14ac:dyDescent="0.35">
      <c r="A694"/>
      <c r="B694" s="97"/>
      <c r="C694"/>
      <c r="D694"/>
      <c r="E694" s="88"/>
      <c r="F694"/>
      <c r="G694"/>
      <c r="H694"/>
      <c r="I694"/>
      <c r="J694"/>
      <c r="K694"/>
      <c r="L694"/>
      <c r="M694"/>
      <c r="N694"/>
      <c r="O694"/>
      <c r="P694" s="72"/>
      <c r="Q694" s="72"/>
      <c r="R694" s="72"/>
      <c r="S694" s="72"/>
      <c r="T694" s="72"/>
      <c r="U694" s="72"/>
      <c r="V694" s="72"/>
      <c r="W694" s="72"/>
      <c r="X694" s="72"/>
      <c r="Y694" s="72"/>
      <c r="Z694" s="72"/>
      <c r="AA694" s="72"/>
    </row>
    <row r="695" spans="1:27" x14ac:dyDescent="0.35">
      <c r="A695"/>
      <c r="B695" s="97"/>
      <c r="C695"/>
      <c r="D695"/>
      <c r="E695" s="88"/>
      <c r="F695"/>
      <c r="G695"/>
      <c r="H695"/>
      <c r="I695"/>
      <c r="J695"/>
      <c r="K695"/>
      <c r="L695"/>
      <c r="M695"/>
      <c r="N695"/>
      <c r="O695"/>
      <c r="P695" s="72"/>
      <c r="Q695" s="72"/>
      <c r="R695" s="72"/>
      <c r="S695" s="72"/>
      <c r="T695" s="72"/>
      <c r="U695" s="72"/>
      <c r="V695" s="72"/>
      <c r="W695" s="72"/>
      <c r="X695" s="72"/>
      <c r="Y695" s="72"/>
      <c r="Z695" s="72"/>
      <c r="AA695" s="72"/>
    </row>
    <row r="696" spans="1:27" x14ac:dyDescent="0.35">
      <c r="A696"/>
      <c r="B696" s="97"/>
      <c r="C696"/>
      <c r="D696"/>
      <c r="E696" s="88"/>
      <c r="F696"/>
      <c r="G696"/>
      <c r="H696"/>
      <c r="I696"/>
      <c r="J696"/>
      <c r="K696"/>
      <c r="L696"/>
      <c r="M696"/>
      <c r="N696"/>
      <c r="O696"/>
      <c r="P696" s="72"/>
      <c r="Q696" s="72"/>
      <c r="R696" s="72"/>
      <c r="S696" s="72"/>
      <c r="T696" s="72"/>
      <c r="U696" s="72"/>
      <c r="V696" s="72"/>
      <c r="W696" s="72"/>
      <c r="X696" s="72"/>
      <c r="Y696" s="72"/>
      <c r="Z696" s="72"/>
      <c r="AA696" s="72"/>
    </row>
    <row r="697" spans="1:27" x14ac:dyDescent="0.35">
      <c r="A697"/>
      <c r="B697" s="97"/>
      <c r="C697"/>
      <c r="D697"/>
      <c r="E697" s="88"/>
      <c r="F697"/>
      <c r="G697"/>
      <c r="H697"/>
      <c r="I697"/>
      <c r="J697"/>
      <c r="K697"/>
      <c r="L697"/>
      <c r="M697"/>
      <c r="N697"/>
      <c r="O697"/>
      <c r="P697" s="72"/>
      <c r="Q697" s="72"/>
      <c r="R697" s="72"/>
      <c r="S697" s="72"/>
      <c r="T697" s="72"/>
      <c r="U697" s="72"/>
      <c r="V697" s="72"/>
      <c r="W697" s="72"/>
      <c r="X697" s="72"/>
      <c r="Y697" s="72"/>
      <c r="Z697" s="72"/>
      <c r="AA697" s="72"/>
    </row>
    <row r="698" spans="1:27" x14ac:dyDescent="0.35">
      <c r="A698"/>
      <c r="B698" s="97"/>
      <c r="C698"/>
      <c r="D698"/>
      <c r="E698" s="88"/>
      <c r="F698"/>
      <c r="G698"/>
      <c r="H698"/>
      <c r="I698"/>
      <c r="J698"/>
      <c r="K698"/>
      <c r="L698"/>
      <c r="M698"/>
      <c r="N698"/>
      <c r="O698"/>
      <c r="P698" s="72"/>
      <c r="Q698" s="72"/>
      <c r="R698" s="72"/>
      <c r="S698" s="72"/>
      <c r="T698" s="72"/>
      <c r="U698" s="72"/>
      <c r="V698" s="72"/>
      <c r="W698" s="72"/>
      <c r="X698" s="72"/>
      <c r="Y698" s="72"/>
      <c r="Z698" s="72"/>
      <c r="AA698" s="72"/>
    </row>
    <row r="699" spans="1:27" x14ac:dyDescent="0.35">
      <c r="A699"/>
      <c r="B699" s="97"/>
      <c r="C699"/>
      <c r="D699"/>
      <c r="E699" s="88"/>
      <c r="F699"/>
      <c r="G699"/>
      <c r="H699"/>
      <c r="I699"/>
      <c r="J699"/>
      <c r="K699"/>
      <c r="L699"/>
      <c r="M699"/>
      <c r="N699"/>
      <c r="O699"/>
      <c r="P699" s="72"/>
      <c r="Q699" s="72"/>
      <c r="R699" s="72"/>
      <c r="S699" s="72"/>
      <c r="T699" s="72"/>
      <c r="U699" s="72"/>
      <c r="V699" s="72"/>
      <c r="W699" s="72"/>
      <c r="X699" s="72"/>
      <c r="Y699" s="72"/>
      <c r="Z699" s="72"/>
      <c r="AA699" s="72"/>
    </row>
    <row r="700" spans="1:27" x14ac:dyDescent="0.35">
      <c r="A700"/>
      <c r="B700" s="97"/>
      <c r="C700"/>
      <c r="D700"/>
      <c r="E700" s="88"/>
      <c r="F700"/>
      <c r="G700"/>
      <c r="H700"/>
      <c r="I700"/>
      <c r="J700"/>
      <c r="K700"/>
      <c r="L700"/>
      <c r="M700"/>
      <c r="N700"/>
      <c r="O700"/>
      <c r="P700" s="72"/>
      <c r="Q700" s="72"/>
      <c r="R700" s="72"/>
      <c r="S700" s="72"/>
      <c r="T700" s="72"/>
      <c r="U700" s="72"/>
      <c r="V700" s="72"/>
      <c r="W700" s="72"/>
      <c r="X700" s="72"/>
      <c r="Y700" s="72"/>
      <c r="Z700" s="72"/>
      <c r="AA700" s="72"/>
    </row>
    <row r="701" spans="1:27" x14ac:dyDescent="0.35">
      <c r="A701"/>
      <c r="B701" s="97"/>
      <c r="C701"/>
      <c r="D701"/>
      <c r="E701" s="88"/>
      <c r="F701"/>
      <c r="G701"/>
      <c r="H701"/>
      <c r="I701"/>
      <c r="J701"/>
      <c r="K701"/>
      <c r="L701"/>
      <c r="M701"/>
      <c r="N701"/>
      <c r="O701"/>
      <c r="P701" s="72"/>
      <c r="Q701" s="72"/>
      <c r="R701" s="72"/>
      <c r="S701" s="72"/>
      <c r="T701" s="72"/>
      <c r="U701" s="72"/>
      <c r="V701" s="72"/>
      <c r="W701" s="72"/>
      <c r="X701" s="72"/>
      <c r="Y701" s="72"/>
      <c r="Z701" s="72"/>
      <c r="AA701" s="72"/>
    </row>
    <row r="702" spans="1:27" x14ac:dyDescent="0.35">
      <c r="A702"/>
      <c r="B702" s="97"/>
      <c r="C702"/>
      <c r="D702"/>
      <c r="E702" s="88"/>
      <c r="F702"/>
      <c r="G702"/>
      <c r="H702"/>
      <c r="I702"/>
      <c r="J702"/>
      <c r="K702"/>
      <c r="L702"/>
      <c r="M702"/>
      <c r="N702"/>
      <c r="O702"/>
      <c r="P702" s="72"/>
      <c r="Q702" s="72"/>
      <c r="R702" s="72"/>
      <c r="S702" s="72"/>
      <c r="T702" s="72"/>
      <c r="U702" s="72"/>
      <c r="V702" s="72"/>
      <c r="W702" s="72"/>
      <c r="X702" s="72"/>
      <c r="Y702" s="72"/>
      <c r="Z702" s="72"/>
      <c r="AA702" s="72"/>
    </row>
    <row r="703" spans="1:27" x14ac:dyDescent="0.35">
      <c r="A703"/>
      <c r="B703" s="97"/>
      <c r="C703"/>
      <c r="D703"/>
      <c r="E703" s="88"/>
      <c r="F703"/>
      <c r="G703"/>
      <c r="H703"/>
      <c r="I703"/>
      <c r="J703"/>
      <c r="K703"/>
      <c r="L703"/>
      <c r="M703"/>
      <c r="N703"/>
      <c r="O703"/>
      <c r="P703" s="72"/>
      <c r="Q703" s="72"/>
      <c r="R703" s="72"/>
      <c r="S703" s="72"/>
      <c r="T703" s="72"/>
      <c r="U703" s="72"/>
      <c r="V703" s="72"/>
      <c r="W703" s="72"/>
      <c r="X703" s="72"/>
      <c r="Y703" s="72"/>
      <c r="Z703" s="72"/>
      <c r="AA703" s="72"/>
    </row>
    <row r="704" spans="1:27" x14ac:dyDescent="0.35">
      <c r="A704"/>
      <c r="B704" s="97"/>
      <c r="C704"/>
      <c r="D704"/>
      <c r="E704" s="88"/>
      <c r="F704"/>
      <c r="G704"/>
      <c r="H704"/>
      <c r="I704"/>
      <c r="J704"/>
      <c r="K704"/>
      <c r="L704"/>
      <c r="M704"/>
      <c r="N704"/>
      <c r="O704"/>
      <c r="P704" s="72"/>
      <c r="Q704" s="72"/>
      <c r="R704" s="72"/>
      <c r="S704" s="72"/>
      <c r="T704" s="72"/>
      <c r="U704" s="72"/>
      <c r="V704" s="72"/>
      <c r="W704" s="72"/>
      <c r="X704" s="72"/>
      <c r="Y704" s="72"/>
      <c r="Z704" s="72"/>
      <c r="AA704" s="72"/>
    </row>
    <row r="705" spans="1:27" x14ac:dyDescent="0.35">
      <c r="A705"/>
      <c r="B705" s="97"/>
      <c r="C705"/>
      <c r="D705"/>
      <c r="E705" s="88"/>
      <c r="F705"/>
      <c r="G705"/>
      <c r="H705"/>
      <c r="I705"/>
      <c r="J705"/>
      <c r="K705"/>
      <c r="L705"/>
      <c r="M705"/>
      <c r="N705"/>
      <c r="O705"/>
      <c r="P705" s="72"/>
      <c r="Q705" s="72"/>
      <c r="R705" s="72"/>
      <c r="S705" s="72"/>
      <c r="T705" s="72"/>
      <c r="U705" s="72"/>
      <c r="V705" s="72"/>
      <c r="W705" s="72"/>
      <c r="X705" s="72"/>
      <c r="Y705" s="72"/>
      <c r="Z705" s="72"/>
      <c r="AA705" s="72"/>
    </row>
    <row r="706" spans="1:27" x14ac:dyDescent="0.35">
      <c r="A706"/>
      <c r="B706" s="97"/>
      <c r="C706"/>
      <c r="D706"/>
      <c r="E706" s="88"/>
      <c r="F706"/>
      <c r="G706"/>
      <c r="H706"/>
      <c r="I706"/>
      <c r="J706"/>
      <c r="K706"/>
      <c r="L706"/>
      <c r="M706"/>
      <c r="N706"/>
      <c r="O706"/>
      <c r="P706" s="72"/>
      <c r="Q706" s="72"/>
      <c r="R706" s="72"/>
      <c r="S706" s="72"/>
      <c r="T706" s="72"/>
      <c r="U706" s="72"/>
      <c r="V706" s="72"/>
      <c r="W706" s="72"/>
      <c r="X706" s="72"/>
      <c r="Y706" s="72"/>
      <c r="Z706" s="72"/>
      <c r="AA706" s="72"/>
    </row>
    <row r="707" spans="1:27" x14ac:dyDescent="0.35">
      <c r="A707"/>
      <c r="B707" s="97"/>
      <c r="C707"/>
      <c r="D707"/>
      <c r="E707" s="88"/>
      <c r="F707"/>
      <c r="G707"/>
      <c r="H707"/>
      <c r="I707"/>
      <c r="J707"/>
      <c r="K707"/>
      <c r="L707"/>
      <c r="M707"/>
      <c r="N707"/>
      <c r="O707"/>
      <c r="P707" s="72"/>
      <c r="Q707" s="72"/>
      <c r="R707" s="72"/>
      <c r="S707" s="72"/>
      <c r="T707" s="72"/>
      <c r="U707" s="72"/>
      <c r="V707" s="72"/>
      <c r="W707" s="72"/>
      <c r="X707" s="72"/>
      <c r="Y707" s="72"/>
      <c r="Z707" s="72"/>
      <c r="AA707" s="72"/>
    </row>
    <row r="708" spans="1:27" x14ac:dyDescent="0.35">
      <c r="A708"/>
      <c r="B708" s="97"/>
      <c r="C708"/>
      <c r="D708"/>
      <c r="E708" s="88"/>
      <c r="F708"/>
      <c r="G708"/>
      <c r="H708"/>
      <c r="I708"/>
      <c r="J708"/>
      <c r="K708"/>
      <c r="L708"/>
      <c r="M708"/>
      <c r="N708"/>
      <c r="O708"/>
      <c r="P708" s="72"/>
      <c r="Q708" s="72"/>
      <c r="R708" s="72"/>
      <c r="S708" s="72"/>
      <c r="T708" s="72"/>
      <c r="U708" s="72"/>
      <c r="V708" s="72"/>
      <c r="W708" s="72"/>
      <c r="X708" s="72"/>
      <c r="Y708" s="72"/>
      <c r="Z708" s="72"/>
      <c r="AA708" s="72"/>
    </row>
    <row r="709" spans="1:27" x14ac:dyDescent="0.35">
      <c r="A709"/>
      <c r="B709" s="97"/>
      <c r="C709"/>
      <c r="D709"/>
      <c r="E709" s="88"/>
      <c r="F709"/>
      <c r="G709"/>
      <c r="H709"/>
      <c r="I709"/>
      <c r="J709"/>
      <c r="K709"/>
      <c r="L709"/>
      <c r="M709"/>
      <c r="N709"/>
      <c r="O709"/>
      <c r="P709" s="72"/>
      <c r="Q709" s="72"/>
      <c r="R709" s="72"/>
      <c r="S709" s="72"/>
      <c r="T709" s="72"/>
      <c r="U709" s="72"/>
      <c r="V709" s="72"/>
      <c r="W709" s="72"/>
      <c r="X709" s="72"/>
      <c r="Y709" s="72"/>
      <c r="Z709" s="72"/>
      <c r="AA709" s="72"/>
    </row>
    <row r="710" spans="1:27" x14ac:dyDescent="0.35">
      <c r="A710"/>
      <c r="B710" s="97"/>
      <c r="C710"/>
      <c r="D710"/>
      <c r="E710" s="88"/>
      <c r="F710"/>
      <c r="G710"/>
      <c r="H710"/>
      <c r="I710"/>
      <c r="J710"/>
      <c r="K710"/>
      <c r="L710"/>
      <c r="M710"/>
      <c r="N710"/>
      <c r="O710"/>
      <c r="P710" s="72"/>
      <c r="Q710" s="72"/>
      <c r="R710" s="72"/>
      <c r="S710" s="72"/>
      <c r="T710" s="72"/>
      <c r="U710" s="72"/>
      <c r="V710" s="72"/>
      <c r="W710" s="72"/>
      <c r="X710" s="72"/>
      <c r="Y710" s="72"/>
      <c r="Z710" s="72"/>
      <c r="AA710" s="72"/>
    </row>
    <row r="711" spans="1:27" x14ac:dyDescent="0.35">
      <c r="A711"/>
      <c r="B711" s="97"/>
      <c r="C711"/>
      <c r="D711"/>
      <c r="E711" s="88"/>
      <c r="F711"/>
      <c r="G711"/>
      <c r="H711"/>
      <c r="I711"/>
      <c r="J711"/>
      <c r="K711"/>
      <c r="L711"/>
      <c r="M711"/>
      <c r="N711"/>
      <c r="O711"/>
      <c r="P711" s="72"/>
      <c r="Q711" s="72"/>
      <c r="R711" s="72"/>
      <c r="S711" s="72"/>
      <c r="T711" s="72"/>
      <c r="U711" s="72"/>
      <c r="V711" s="72"/>
      <c r="W711" s="72"/>
      <c r="X711" s="72"/>
      <c r="Y711" s="72"/>
      <c r="Z711" s="72"/>
      <c r="AA711" s="72"/>
    </row>
    <row r="712" spans="1:27" x14ac:dyDescent="0.35">
      <c r="A712"/>
      <c r="B712" s="97"/>
      <c r="C712"/>
      <c r="D712"/>
      <c r="E712" s="88"/>
      <c r="F712"/>
      <c r="G712"/>
      <c r="H712"/>
      <c r="I712"/>
      <c r="J712"/>
      <c r="K712"/>
      <c r="L712"/>
      <c r="M712"/>
      <c r="N712"/>
      <c r="O712"/>
      <c r="P712" s="72"/>
      <c r="Q712" s="72"/>
      <c r="R712" s="72"/>
      <c r="S712" s="72"/>
      <c r="T712" s="72"/>
      <c r="U712" s="72"/>
      <c r="V712" s="72"/>
      <c r="W712" s="72"/>
      <c r="X712" s="72"/>
      <c r="Y712" s="72"/>
      <c r="Z712" s="72"/>
      <c r="AA712" s="72"/>
    </row>
    <row r="713" spans="1:27" x14ac:dyDescent="0.35">
      <c r="A713"/>
      <c r="B713" s="97"/>
      <c r="C713"/>
      <c r="D713"/>
      <c r="E713" s="88"/>
      <c r="F713"/>
      <c r="G713"/>
      <c r="H713"/>
      <c r="I713"/>
      <c r="J713"/>
      <c r="K713"/>
      <c r="L713"/>
      <c r="M713"/>
      <c r="N713"/>
      <c r="O713"/>
      <c r="P713" s="72"/>
      <c r="Q713" s="72"/>
      <c r="R713" s="72"/>
      <c r="S713" s="72"/>
      <c r="T713" s="72"/>
      <c r="U713" s="72"/>
      <c r="V713" s="72"/>
      <c r="W713" s="72"/>
      <c r="X713" s="72"/>
      <c r="Y713" s="72"/>
      <c r="Z713" s="72"/>
      <c r="AA713" s="72"/>
    </row>
    <row r="714" spans="1:27" x14ac:dyDescent="0.35">
      <c r="A714"/>
      <c r="B714" s="97"/>
      <c r="C714"/>
      <c r="D714"/>
      <c r="E714" s="88"/>
      <c r="F714"/>
      <c r="G714"/>
      <c r="H714"/>
      <c r="I714"/>
      <c r="J714"/>
      <c r="K714"/>
      <c r="L714"/>
      <c r="M714"/>
      <c r="N714"/>
      <c r="O714"/>
      <c r="P714" s="72"/>
      <c r="Q714" s="72"/>
      <c r="R714" s="72"/>
      <c r="S714" s="72"/>
      <c r="T714" s="72"/>
      <c r="U714" s="72"/>
      <c r="V714" s="72"/>
      <c r="W714" s="72"/>
      <c r="X714" s="72"/>
      <c r="Y714" s="72"/>
      <c r="Z714" s="72"/>
      <c r="AA714" s="72"/>
    </row>
    <row r="715" spans="1:27" x14ac:dyDescent="0.35">
      <c r="A715"/>
      <c r="B715" s="97"/>
      <c r="C715"/>
      <c r="D715"/>
      <c r="E715" s="88"/>
      <c r="F715"/>
      <c r="G715"/>
      <c r="H715"/>
      <c r="I715"/>
      <c r="J715"/>
      <c r="K715"/>
      <c r="L715"/>
      <c r="M715"/>
      <c r="N715"/>
      <c r="O715"/>
      <c r="P715" s="72"/>
      <c r="Q715" s="72"/>
      <c r="R715" s="72"/>
      <c r="S715" s="72"/>
      <c r="T715" s="72"/>
      <c r="U715" s="72"/>
      <c r="V715" s="72"/>
      <c r="W715" s="72"/>
      <c r="X715" s="72"/>
      <c r="Y715" s="72"/>
      <c r="Z715" s="72"/>
      <c r="AA715" s="72"/>
    </row>
    <row r="716" spans="1:27" x14ac:dyDescent="0.35">
      <c r="A716"/>
      <c r="B716" s="97"/>
      <c r="C716"/>
      <c r="D716"/>
      <c r="E716" s="88"/>
      <c r="F716"/>
      <c r="G716"/>
      <c r="H716"/>
      <c r="I716"/>
      <c r="J716"/>
      <c r="K716"/>
      <c r="L716"/>
      <c r="M716"/>
      <c r="N716"/>
      <c r="O716"/>
      <c r="P716" s="72"/>
      <c r="Q716" s="72"/>
      <c r="R716" s="72"/>
      <c r="S716" s="72"/>
      <c r="T716" s="72"/>
      <c r="U716" s="72"/>
      <c r="V716" s="72"/>
      <c r="W716" s="72"/>
      <c r="X716" s="72"/>
      <c r="Y716" s="72"/>
      <c r="Z716" s="72"/>
      <c r="AA716" s="72"/>
    </row>
    <row r="717" spans="1:27" x14ac:dyDescent="0.35">
      <c r="A717"/>
      <c r="B717" s="97"/>
      <c r="C717"/>
      <c r="D717"/>
      <c r="E717" s="88"/>
      <c r="F717"/>
      <c r="G717"/>
      <c r="H717"/>
      <c r="I717"/>
      <c r="J717"/>
      <c r="K717"/>
      <c r="L717"/>
      <c r="M717"/>
      <c r="N717"/>
      <c r="O717"/>
      <c r="P717" s="72"/>
      <c r="Q717" s="72"/>
      <c r="R717" s="72"/>
      <c r="S717" s="72"/>
      <c r="T717" s="72"/>
      <c r="U717" s="72"/>
      <c r="V717" s="72"/>
      <c r="W717" s="72"/>
      <c r="X717" s="72"/>
      <c r="Y717" s="72"/>
      <c r="Z717" s="72"/>
      <c r="AA717" s="72"/>
    </row>
    <row r="718" spans="1:27" x14ac:dyDescent="0.35">
      <c r="A718"/>
      <c r="B718" s="97"/>
      <c r="C718"/>
      <c r="D718"/>
      <c r="E718" s="88"/>
      <c r="F718"/>
      <c r="G718"/>
      <c r="H718"/>
      <c r="I718"/>
      <c r="J718"/>
      <c r="K718"/>
      <c r="L718"/>
      <c r="M718"/>
      <c r="N718"/>
      <c r="O718"/>
      <c r="P718" s="72"/>
      <c r="Q718" s="72"/>
      <c r="R718" s="72"/>
      <c r="S718" s="72"/>
      <c r="T718" s="72"/>
      <c r="U718" s="72"/>
      <c r="V718" s="72"/>
      <c r="W718" s="72"/>
      <c r="X718" s="72"/>
      <c r="Y718" s="72"/>
      <c r="Z718" s="72"/>
      <c r="AA718" s="72"/>
    </row>
    <row r="719" spans="1:27" x14ac:dyDescent="0.35">
      <c r="A719"/>
      <c r="B719" s="97"/>
      <c r="C719"/>
      <c r="D719"/>
      <c r="E719" s="88"/>
      <c r="F719"/>
      <c r="G719"/>
      <c r="H719"/>
      <c r="I719"/>
      <c r="J719"/>
      <c r="K719"/>
      <c r="L719"/>
      <c r="M719"/>
      <c r="N719"/>
      <c r="O719"/>
      <c r="P719" s="72"/>
      <c r="Q719" s="72"/>
      <c r="R719" s="72"/>
      <c r="S719" s="72"/>
      <c r="T719" s="72"/>
      <c r="U719" s="72"/>
      <c r="V719" s="72"/>
      <c r="W719" s="72"/>
      <c r="X719" s="72"/>
      <c r="Y719" s="72"/>
      <c r="Z719" s="72"/>
      <c r="AA719" s="72"/>
    </row>
    <row r="720" spans="1:27" x14ac:dyDescent="0.35">
      <c r="A720"/>
      <c r="B720" s="97"/>
      <c r="C720"/>
      <c r="D720"/>
      <c r="E720" s="88"/>
      <c r="F720"/>
      <c r="G720"/>
      <c r="H720"/>
      <c r="I720"/>
      <c r="J720"/>
      <c r="K720"/>
      <c r="L720"/>
      <c r="M720"/>
      <c r="N720"/>
      <c r="O720"/>
      <c r="P720" s="72"/>
      <c r="Q720" s="72"/>
      <c r="R720" s="72"/>
      <c r="S720" s="72"/>
      <c r="T720" s="72"/>
      <c r="U720" s="72"/>
      <c r="V720" s="72"/>
      <c r="W720" s="72"/>
      <c r="X720" s="72"/>
      <c r="Y720" s="72"/>
      <c r="Z720" s="72"/>
      <c r="AA720" s="72"/>
    </row>
    <row r="721" spans="1:27" x14ac:dyDescent="0.35">
      <c r="A721"/>
      <c r="B721" s="97"/>
      <c r="C721"/>
      <c r="D721"/>
      <c r="E721" s="88"/>
      <c r="F721"/>
      <c r="G721"/>
      <c r="H721"/>
      <c r="I721"/>
      <c r="J721"/>
      <c r="K721"/>
      <c r="L721"/>
      <c r="M721"/>
      <c r="N721"/>
      <c r="O721"/>
      <c r="P721" s="72"/>
      <c r="Q721" s="72"/>
      <c r="R721" s="72"/>
      <c r="S721" s="72"/>
      <c r="T721" s="72"/>
      <c r="U721" s="72"/>
      <c r="V721" s="72"/>
      <c r="W721" s="72"/>
      <c r="X721" s="72"/>
      <c r="Y721" s="72"/>
      <c r="Z721" s="72"/>
      <c r="AA721" s="72"/>
    </row>
    <row r="722" spans="1:27" x14ac:dyDescent="0.35">
      <c r="A722"/>
      <c r="B722" s="97"/>
      <c r="C722"/>
      <c r="D722"/>
      <c r="E722" s="88"/>
      <c r="F722"/>
      <c r="G722"/>
      <c r="H722"/>
      <c r="I722"/>
      <c r="J722"/>
      <c r="K722"/>
      <c r="L722"/>
      <c r="M722"/>
      <c r="N722"/>
      <c r="O722"/>
      <c r="P722" s="72"/>
      <c r="Q722" s="72"/>
      <c r="R722" s="72"/>
      <c r="S722" s="72"/>
      <c r="T722" s="72"/>
      <c r="U722" s="72"/>
      <c r="V722" s="72"/>
      <c r="W722" s="72"/>
      <c r="X722" s="72"/>
      <c r="Y722" s="72"/>
      <c r="Z722" s="72"/>
      <c r="AA722" s="72"/>
    </row>
    <row r="723" spans="1:27" x14ac:dyDescent="0.35">
      <c r="A723"/>
      <c r="B723" s="97"/>
      <c r="C723"/>
      <c r="D723"/>
      <c r="E723" s="88"/>
      <c r="F723"/>
      <c r="G723"/>
      <c r="H723"/>
      <c r="I723"/>
      <c r="J723"/>
      <c r="K723"/>
      <c r="L723"/>
      <c r="M723"/>
      <c r="N723"/>
      <c r="O723"/>
      <c r="P723" s="72"/>
      <c r="Q723" s="72"/>
      <c r="R723" s="72"/>
      <c r="S723" s="72"/>
      <c r="T723" s="72"/>
      <c r="U723" s="72"/>
      <c r="V723" s="72"/>
      <c r="W723" s="72"/>
      <c r="X723" s="72"/>
      <c r="Y723" s="72"/>
      <c r="Z723" s="72"/>
      <c r="AA723" s="72"/>
    </row>
    <row r="724" spans="1:27" x14ac:dyDescent="0.35">
      <c r="A724"/>
      <c r="B724" s="97"/>
      <c r="C724"/>
      <c r="D724"/>
      <c r="E724" s="88"/>
      <c r="F724"/>
      <c r="G724"/>
      <c r="H724"/>
      <c r="I724"/>
      <c r="J724"/>
      <c r="K724"/>
      <c r="L724"/>
      <c r="M724"/>
      <c r="N724"/>
      <c r="O724"/>
      <c r="P724" s="72"/>
      <c r="Q724" s="72"/>
      <c r="R724" s="72"/>
      <c r="S724" s="72"/>
      <c r="T724" s="72"/>
      <c r="U724" s="72"/>
      <c r="V724" s="72"/>
      <c r="W724" s="72"/>
      <c r="X724" s="72"/>
      <c r="Y724" s="72"/>
      <c r="Z724" s="72"/>
      <c r="AA724" s="72"/>
    </row>
    <row r="725" spans="1:27" x14ac:dyDescent="0.35">
      <c r="A725"/>
      <c r="B725" s="97"/>
      <c r="C725"/>
      <c r="D725"/>
      <c r="E725" s="88"/>
      <c r="F725"/>
      <c r="G725"/>
      <c r="H725"/>
      <c r="I725"/>
      <c r="J725"/>
      <c r="K725"/>
      <c r="L725"/>
      <c r="M725"/>
      <c r="N725"/>
      <c r="O725"/>
      <c r="P725" s="72"/>
      <c r="Q725" s="72"/>
      <c r="R725" s="72"/>
      <c r="S725" s="72"/>
      <c r="T725" s="72"/>
      <c r="U725" s="72"/>
      <c r="V725" s="72"/>
      <c r="W725" s="72"/>
      <c r="X725" s="72"/>
      <c r="Y725" s="72"/>
      <c r="Z725" s="72"/>
      <c r="AA725" s="72"/>
    </row>
    <row r="726" spans="1:27" x14ac:dyDescent="0.35">
      <c r="A726"/>
      <c r="B726" s="97"/>
      <c r="C726"/>
      <c r="D726"/>
      <c r="E726" s="88"/>
      <c r="F726"/>
      <c r="G726"/>
      <c r="H726"/>
      <c r="I726"/>
      <c r="J726"/>
      <c r="K726"/>
      <c r="L726"/>
      <c r="M726"/>
      <c r="N726"/>
      <c r="O726"/>
      <c r="P726" s="72"/>
      <c r="Q726" s="72"/>
      <c r="R726" s="72"/>
      <c r="S726" s="72"/>
      <c r="T726" s="72"/>
      <c r="U726" s="72"/>
      <c r="V726" s="72"/>
      <c r="W726" s="72"/>
      <c r="X726" s="72"/>
      <c r="Y726" s="72"/>
      <c r="Z726" s="72"/>
      <c r="AA726" s="72"/>
    </row>
    <row r="727" spans="1:27" x14ac:dyDescent="0.35">
      <c r="A727"/>
      <c r="B727" s="97"/>
      <c r="C727"/>
      <c r="D727"/>
      <c r="E727" s="88"/>
      <c r="F727"/>
      <c r="G727"/>
      <c r="H727"/>
      <c r="I727"/>
      <c r="J727"/>
      <c r="K727"/>
      <c r="L727"/>
      <c r="M727"/>
      <c r="N727"/>
      <c r="O727"/>
      <c r="P727" s="72"/>
      <c r="Q727" s="72"/>
      <c r="R727" s="72"/>
      <c r="S727" s="72"/>
      <c r="T727" s="72"/>
      <c r="U727" s="72"/>
      <c r="V727" s="72"/>
      <c r="W727" s="72"/>
      <c r="X727" s="72"/>
      <c r="Y727" s="72"/>
      <c r="Z727" s="72"/>
      <c r="AA727" s="72"/>
    </row>
    <row r="728" spans="1:27" x14ac:dyDescent="0.35">
      <c r="A728"/>
      <c r="B728" s="97"/>
      <c r="C728"/>
      <c r="D728"/>
      <c r="E728" s="88"/>
      <c r="F728"/>
      <c r="G728"/>
      <c r="H728"/>
      <c r="I728"/>
      <c r="J728"/>
      <c r="K728"/>
      <c r="L728"/>
      <c r="M728"/>
      <c r="N728"/>
      <c r="O728"/>
      <c r="P728" s="72"/>
      <c r="Q728" s="72"/>
      <c r="R728" s="72"/>
      <c r="S728" s="72"/>
      <c r="T728" s="72"/>
      <c r="U728" s="72"/>
      <c r="V728" s="72"/>
      <c r="W728" s="72"/>
      <c r="X728" s="72"/>
      <c r="Y728" s="72"/>
      <c r="Z728" s="72"/>
      <c r="AA728" s="72"/>
    </row>
    <row r="729" spans="1:27" x14ac:dyDescent="0.35">
      <c r="A729"/>
      <c r="B729" s="97"/>
      <c r="C729"/>
      <c r="D729"/>
      <c r="E729" s="88"/>
      <c r="F729"/>
      <c r="G729"/>
      <c r="H729"/>
      <c r="I729"/>
      <c r="J729"/>
      <c r="K729"/>
      <c r="L729"/>
      <c r="M729"/>
      <c r="N729"/>
      <c r="O729"/>
      <c r="P729" s="72"/>
      <c r="Q729" s="72"/>
      <c r="R729" s="72"/>
      <c r="S729" s="72"/>
      <c r="T729" s="72"/>
      <c r="U729" s="72"/>
      <c r="V729" s="72"/>
      <c r="W729" s="72"/>
      <c r="X729" s="72"/>
      <c r="Y729" s="72"/>
      <c r="Z729" s="72"/>
      <c r="AA729" s="72"/>
    </row>
    <row r="730" spans="1:27" x14ac:dyDescent="0.35">
      <c r="A730"/>
      <c r="B730" s="97"/>
      <c r="C730"/>
      <c r="D730"/>
      <c r="E730" s="88"/>
      <c r="F730"/>
      <c r="G730"/>
      <c r="H730"/>
      <c r="I730"/>
      <c r="J730"/>
      <c r="K730"/>
      <c r="L730"/>
      <c r="M730"/>
      <c r="N730"/>
      <c r="O730"/>
      <c r="P730" s="72"/>
      <c r="Q730" s="72"/>
      <c r="R730" s="72"/>
      <c r="S730" s="72"/>
      <c r="T730" s="72"/>
      <c r="U730" s="72"/>
      <c r="V730" s="72"/>
      <c r="W730" s="72"/>
      <c r="X730" s="72"/>
      <c r="Y730" s="72"/>
      <c r="Z730" s="72"/>
      <c r="AA730" s="72"/>
    </row>
    <row r="731" spans="1:27" x14ac:dyDescent="0.35">
      <c r="A731"/>
      <c r="B731" s="97"/>
      <c r="C731"/>
      <c r="D731"/>
      <c r="E731" s="88"/>
      <c r="F731"/>
      <c r="G731"/>
      <c r="H731"/>
      <c r="I731"/>
      <c r="J731"/>
      <c r="K731"/>
      <c r="L731"/>
      <c r="M731"/>
      <c r="N731"/>
      <c r="O731"/>
      <c r="P731" s="72"/>
      <c r="Q731" s="72"/>
      <c r="R731" s="72"/>
      <c r="S731" s="72"/>
      <c r="T731" s="72"/>
      <c r="U731" s="72"/>
      <c r="V731" s="72"/>
      <c r="W731" s="72"/>
      <c r="X731" s="72"/>
      <c r="Y731" s="72"/>
      <c r="Z731" s="72"/>
      <c r="AA731" s="72"/>
    </row>
    <row r="732" spans="1:27" x14ac:dyDescent="0.35">
      <c r="A732"/>
      <c r="B732" s="97"/>
      <c r="C732"/>
      <c r="D732"/>
      <c r="E732" s="88"/>
      <c r="F732"/>
      <c r="G732"/>
      <c r="H732"/>
      <c r="I732"/>
      <c r="J732"/>
      <c r="K732"/>
      <c r="L732"/>
      <c r="M732"/>
      <c r="N732"/>
      <c r="O732"/>
      <c r="P732" s="72"/>
      <c r="Q732" s="72"/>
      <c r="R732" s="72"/>
      <c r="S732" s="72"/>
      <c r="T732" s="72"/>
      <c r="U732" s="72"/>
      <c r="V732" s="72"/>
      <c r="W732" s="72"/>
      <c r="X732" s="72"/>
      <c r="Y732" s="72"/>
      <c r="Z732" s="72"/>
      <c r="AA732" s="72"/>
    </row>
    <row r="733" spans="1:27" x14ac:dyDescent="0.35">
      <c r="A733"/>
      <c r="B733" s="97"/>
      <c r="C733"/>
      <c r="D733"/>
      <c r="E733" s="88"/>
      <c r="F733"/>
      <c r="G733"/>
      <c r="H733"/>
      <c r="I733"/>
      <c r="J733"/>
      <c r="K733"/>
      <c r="L733"/>
      <c r="M733"/>
      <c r="N733"/>
      <c r="O733"/>
      <c r="P733" s="72"/>
      <c r="Q733" s="72"/>
      <c r="R733" s="72"/>
      <c r="S733" s="72"/>
      <c r="T733" s="72"/>
      <c r="U733" s="72"/>
      <c r="V733" s="72"/>
      <c r="W733" s="72"/>
      <c r="X733" s="72"/>
      <c r="Y733" s="72"/>
      <c r="Z733" s="72"/>
      <c r="AA733" s="72"/>
    </row>
    <row r="734" spans="1:27" x14ac:dyDescent="0.35">
      <c r="A734"/>
      <c r="B734" s="97"/>
      <c r="C734"/>
      <c r="D734"/>
      <c r="E734" s="88"/>
      <c r="F734"/>
      <c r="G734"/>
      <c r="H734"/>
      <c r="I734"/>
      <c r="J734"/>
      <c r="K734"/>
      <c r="L734"/>
      <c r="M734"/>
      <c r="N734"/>
      <c r="O734"/>
      <c r="P734" s="72"/>
      <c r="Q734" s="72"/>
      <c r="R734" s="72"/>
      <c r="S734" s="72"/>
      <c r="T734" s="72"/>
      <c r="U734" s="72"/>
      <c r="V734" s="72"/>
      <c r="W734" s="72"/>
      <c r="X734" s="72"/>
      <c r="Y734" s="72"/>
      <c r="Z734" s="72"/>
      <c r="AA734" s="72"/>
    </row>
    <row r="735" spans="1:27" x14ac:dyDescent="0.35">
      <c r="A735"/>
      <c r="B735" s="97"/>
      <c r="C735"/>
      <c r="D735"/>
      <c r="E735" s="88"/>
      <c r="F735"/>
      <c r="G735"/>
      <c r="H735"/>
      <c r="I735"/>
      <c r="J735"/>
      <c r="K735"/>
      <c r="L735"/>
      <c r="M735"/>
      <c r="N735"/>
      <c r="O735"/>
      <c r="P735" s="72"/>
      <c r="Q735" s="72"/>
      <c r="R735" s="72"/>
      <c r="S735" s="72"/>
      <c r="T735" s="72"/>
      <c r="U735" s="72"/>
      <c r="V735" s="72"/>
      <c r="W735" s="72"/>
      <c r="X735" s="72"/>
      <c r="Y735" s="72"/>
      <c r="Z735" s="72"/>
      <c r="AA735" s="72"/>
    </row>
    <row r="736" spans="1:27" x14ac:dyDescent="0.35">
      <c r="A736"/>
      <c r="B736" s="97"/>
      <c r="C736"/>
      <c r="D736"/>
      <c r="E736" s="88"/>
      <c r="F736"/>
      <c r="G736"/>
      <c r="H736"/>
      <c r="I736"/>
      <c r="J736"/>
      <c r="K736"/>
      <c r="L736"/>
      <c r="M736"/>
      <c r="N736"/>
      <c r="O736"/>
      <c r="P736" s="72"/>
      <c r="Q736" s="72"/>
      <c r="R736" s="72"/>
      <c r="S736" s="72"/>
      <c r="T736" s="72"/>
      <c r="U736" s="72"/>
      <c r="V736" s="72"/>
      <c r="W736" s="72"/>
      <c r="X736" s="72"/>
      <c r="Y736" s="72"/>
      <c r="Z736" s="72"/>
      <c r="AA736" s="72"/>
    </row>
    <row r="737" spans="1:27" x14ac:dyDescent="0.35">
      <c r="A737"/>
      <c r="B737" s="97"/>
      <c r="C737"/>
      <c r="D737"/>
      <c r="E737" s="88"/>
      <c r="F737"/>
      <c r="G737"/>
      <c r="H737"/>
      <c r="I737"/>
      <c r="J737"/>
      <c r="K737"/>
      <c r="L737"/>
      <c r="M737"/>
      <c r="N737"/>
      <c r="O737"/>
      <c r="P737" s="72"/>
      <c r="Q737" s="72"/>
      <c r="R737" s="72"/>
      <c r="S737" s="72"/>
      <c r="T737" s="72"/>
      <c r="U737" s="72"/>
      <c r="V737" s="72"/>
      <c r="W737" s="72"/>
      <c r="X737" s="72"/>
      <c r="Y737" s="72"/>
      <c r="Z737" s="72"/>
      <c r="AA737" s="72"/>
    </row>
    <row r="738" spans="1:27" x14ac:dyDescent="0.35">
      <c r="A738"/>
      <c r="B738" s="97"/>
      <c r="C738"/>
      <c r="D738"/>
      <c r="E738" s="88"/>
      <c r="F738"/>
      <c r="G738"/>
      <c r="H738"/>
      <c r="I738"/>
      <c r="J738"/>
      <c r="K738"/>
      <c r="L738"/>
      <c r="M738"/>
      <c r="N738"/>
      <c r="O738"/>
      <c r="P738" s="72"/>
      <c r="Q738" s="72"/>
      <c r="R738" s="72"/>
      <c r="S738" s="72"/>
      <c r="T738" s="72"/>
      <c r="U738" s="72"/>
      <c r="V738" s="72"/>
      <c r="W738" s="72"/>
      <c r="X738" s="72"/>
      <c r="Y738" s="72"/>
      <c r="Z738" s="72"/>
      <c r="AA738" s="72"/>
    </row>
    <row r="739" spans="1:27" x14ac:dyDescent="0.35">
      <c r="A739"/>
      <c r="B739" s="97"/>
      <c r="C739"/>
      <c r="D739"/>
      <c r="E739" s="88"/>
      <c r="F739"/>
      <c r="G739"/>
      <c r="H739"/>
      <c r="I739"/>
      <c r="J739"/>
      <c r="K739"/>
      <c r="L739"/>
      <c r="M739"/>
      <c r="N739"/>
      <c r="O739"/>
      <c r="P739" s="72"/>
      <c r="Q739" s="72"/>
      <c r="R739" s="72"/>
      <c r="S739" s="72"/>
      <c r="T739" s="72"/>
      <c r="U739" s="72"/>
      <c r="V739" s="72"/>
      <c r="W739" s="72"/>
      <c r="X739" s="72"/>
      <c r="Y739" s="72"/>
      <c r="Z739" s="72"/>
      <c r="AA739" s="72"/>
    </row>
    <row r="740" spans="1:27" x14ac:dyDescent="0.35">
      <c r="A740"/>
      <c r="B740" s="97"/>
      <c r="C740"/>
      <c r="D740"/>
      <c r="E740" s="88"/>
      <c r="F740"/>
      <c r="G740"/>
      <c r="H740"/>
      <c r="I740"/>
      <c r="J740"/>
      <c r="K740"/>
      <c r="L740"/>
      <c r="M740"/>
      <c r="N740"/>
      <c r="O740"/>
      <c r="P740" s="72"/>
      <c r="Q740" s="72"/>
      <c r="R740" s="72"/>
      <c r="S740" s="72"/>
      <c r="T740" s="72"/>
      <c r="U740" s="72"/>
      <c r="V740" s="72"/>
      <c r="W740" s="72"/>
      <c r="X740" s="72"/>
      <c r="Y740" s="72"/>
      <c r="Z740" s="72"/>
      <c r="AA740" s="72"/>
    </row>
    <row r="741" spans="1:27" x14ac:dyDescent="0.35">
      <c r="A741"/>
      <c r="B741" s="97"/>
      <c r="C741"/>
      <c r="D741"/>
      <c r="E741" s="88"/>
      <c r="F741"/>
      <c r="G741"/>
      <c r="H741"/>
      <c r="I741"/>
      <c r="J741"/>
      <c r="K741"/>
      <c r="L741"/>
      <c r="M741"/>
      <c r="N741"/>
      <c r="O741"/>
      <c r="P741" s="72"/>
      <c r="Q741" s="72"/>
      <c r="R741" s="72"/>
      <c r="S741" s="72"/>
      <c r="T741" s="72"/>
      <c r="U741" s="72"/>
      <c r="V741" s="72"/>
      <c r="W741" s="72"/>
      <c r="X741" s="72"/>
      <c r="Y741" s="72"/>
      <c r="Z741" s="72"/>
      <c r="AA741" s="72"/>
    </row>
    <row r="742" spans="1:27" x14ac:dyDescent="0.35">
      <c r="A742"/>
      <c r="B742" s="97"/>
      <c r="C742"/>
      <c r="D742"/>
      <c r="E742" s="88"/>
      <c r="F742"/>
      <c r="G742"/>
      <c r="H742"/>
      <c r="I742"/>
      <c r="J742"/>
      <c r="K742"/>
      <c r="L742"/>
      <c r="M742"/>
      <c r="N742"/>
      <c r="O742"/>
      <c r="P742" s="72"/>
      <c r="Q742" s="72"/>
      <c r="R742" s="72"/>
      <c r="S742" s="72"/>
      <c r="T742" s="72"/>
      <c r="U742" s="72"/>
      <c r="V742" s="72"/>
      <c r="W742" s="72"/>
      <c r="X742" s="72"/>
      <c r="Y742" s="72"/>
      <c r="Z742" s="72"/>
      <c r="AA742" s="72"/>
    </row>
    <row r="743" spans="1:27" x14ac:dyDescent="0.35">
      <c r="A743"/>
      <c r="B743" s="97"/>
      <c r="C743"/>
      <c r="D743"/>
      <c r="E743" s="88"/>
      <c r="F743"/>
      <c r="G743"/>
      <c r="H743"/>
      <c r="I743"/>
      <c r="J743"/>
      <c r="K743"/>
      <c r="L743"/>
      <c r="M743"/>
      <c r="N743"/>
      <c r="O743"/>
      <c r="P743" s="72"/>
      <c r="Q743" s="72"/>
      <c r="R743" s="72"/>
      <c r="S743" s="72"/>
      <c r="T743" s="72"/>
      <c r="U743" s="72"/>
      <c r="V743" s="72"/>
      <c r="W743" s="72"/>
      <c r="X743" s="72"/>
      <c r="Y743" s="72"/>
      <c r="Z743" s="72"/>
      <c r="AA743" s="72"/>
    </row>
    <row r="744" spans="1:27" x14ac:dyDescent="0.35">
      <c r="A744"/>
      <c r="B744" s="97"/>
      <c r="C744"/>
      <c r="D744"/>
      <c r="E744" s="88"/>
      <c r="F744"/>
      <c r="G744"/>
      <c r="H744"/>
      <c r="I744"/>
      <c r="J744"/>
      <c r="K744"/>
      <c r="L744"/>
      <c r="M744"/>
      <c r="N744"/>
      <c r="O744"/>
      <c r="P744" s="72"/>
      <c r="Q744" s="72"/>
      <c r="R744" s="72"/>
      <c r="S744" s="72"/>
      <c r="T744" s="72"/>
      <c r="U744" s="72"/>
      <c r="V744" s="72"/>
      <c r="W744" s="72"/>
      <c r="X744" s="72"/>
      <c r="Y744" s="72"/>
      <c r="Z744" s="72"/>
      <c r="AA744" s="72"/>
    </row>
    <row r="745" spans="1:27" x14ac:dyDescent="0.35">
      <c r="A745"/>
      <c r="B745" s="97"/>
      <c r="C745"/>
      <c r="D745"/>
      <c r="E745" s="88"/>
      <c r="F745"/>
      <c r="G745"/>
      <c r="H745"/>
      <c r="I745"/>
      <c r="J745"/>
      <c r="K745"/>
      <c r="L745"/>
      <c r="M745"/>
      <c r="N745"/>
      <c r="O745"/>
      <c r="P745" s="72"/>
      <c r="Q745" s="72"/>
      <c r="R745" s="72"/>
      <c r="S745" s="72"/>
      <c r="T745" s="72"/>
      <c r="U745" s="72"/>
      <c r="V745" s="72"/>
      <c r="W745" s="72"/>
      <c r="X745" s="72"/>
      <c r="Y745" s="72"/>
      <c r="Z745" s="72"/>
      <c r="AA745" s="72"/>
    </row>
    <row r="746" spans="1:27" x14ac:dyDescent="0.35">
      <c r="A746"/>
      <c r="B746" s="97"/>
      <c r="C746"/>
      <c r="D746"/>
      <c r="E746" s="88"/>
      <c r="F746"/>
      <c r="G746"/>
      <c r="H746"/>
      <c r="I746"/>
      <c r="J746"/>
      <c r="K746"/>
      <c r="L746"/>
      <c r="M746"/>
      <c r="N746"/>
      <c r="O746"/>
      <c r="P746" s="72"/>
      <c r="Q746" s="72"/>
      <c r="R746" s="72"/>
      <c r="S746" s="72"/>
      <c r="T746" s="72"/>
      <c r="U746" s="72"/>
      <c r="V746" s="72"/>
      <c r="W746" s="72"/>
      <c r="X746" s="72"/>
      <c r="Y746" s="72"/>
      <c r="Z746" s="72"/>
      <c r="AA746" s="72"/>
    </row>
    <row r="747" spans="1:27" x14ac:dyDescent="0.35">
      <c r="A747"/>
      <c r="B747" s="97"/>
      <c r="C747"/>
      <c r="D747"/>
      <c r="E747" s="88"/>
      <c r="F747"/>
      <c r="G747"/>
      <c r="H747"/>
      <c r="I747"/>
      <c r="J747"/>
      <c r="K747"/>
      <c r="L747"/>
      <c r="M747"/>
      <c r="N747"/>
      <c r="O747"/>
      <c r="P747" s="72"/>
      <c r="Q747" s="72"/>
      <c r="R747" s="72"/>
      <c r="S747" s="72"/>
      <c r="T747" s="72"/>
      <c r="U747" s="72"/>
      <c r="V747" s="72"/>
      <c r="W747" s="72"/>
      <c r="X747" s="72"/>
      <c r="Y747" s="72"/>
      <c r="Z747" s="72"/>
      <c r="AA747" s="72"/>
    </row>
    <row r="748" spans="1:27" x14ac:dyDescent="0.35">
      <c r="A748"/>
      <c r="B748" s="97"/>
      <c r="C748"/>
      <c r="D748"/>
      <c r="E748" s="88"/>
      <c r="F748"/>
      <c r="G748"/>
      <c r="H748"/>
      <c r="I748"/>
      <c r="J748"/>
      <c r="K748"/>
      <c r="L748"/>
      <c r="M748"/>
      <c r="N748"/>
      <c r="O748"/>
      <c r="P748" s="72"/>
      <c r="Q748" s="72"/>
      <c r="R748" s="72"/>
      <c r="S748" s="72"/>
      <c r="T748" s="72"/>
      <c r="U748" s="72"/>
      <c r="V748" s="72"/>
      <c r="W748" s="72"/>
      <c r="X748" s="72"/>
      <c r="Y748" s="72"/>
      <c r="Z748" s="72"/>
      <c r="AA748" s="72"/>
    </row>
    <row r="749" spans="1:27" x14ac:dyDescent="0.35">
      <c r="A749"/>
      <c r="B749" s="97"/>
      <c r="C749"/>
      <c r="D749"/>
      <c r="E749" s="88"/>
      <c r="F749"/>
      <c r="G749"/>
      <c r="H749"/>
      <c r="I749"/>
      <c r="J749"/>
      <c r="K749"/>
      <c r="L749"/>
      <c r="M749"/>
      <c r="N749"/>
      <c r="O749"/>
      <c r="P749" s="72"/>
      <c r="Q749" s="72"/>
      <c r="R749" s="72"/>
      <c r="S749" s="72"/>
      <c r="T749" s="72"/>
      <c r="U749" s="72"/>
      <c r="V749" s="72"/>
      <c r="W749" s="72"/>
      <c r="X749" s="72"/>
      <c r="Y749" s="72"/>
      <c r="Z749" s="72"/>
      <c r="AA749" s="72"/>
    </row>
    <row r="750" spans="1:27" x14ac:dyDescent="0.35">
      <c r="A750"/>
      <c r="B750" s="97"/>
      <c r="C750"/>
      <c r="D750"/>
      <c r="E750" s="88"/>
      <c r="F750"/>
      <c r="G750"/>
      <c r="H750"/>
      <c r="I750"/>
      <c r="J750"/>
      <c r="K750"/>
      <c r="L750"/>
      <c r="M750"/>
      <c r="N750"/>
      <c r="O750"/>
      <c r="P750" s="72"/>
      <c r="Q750" s="72"/>
      <c r="R750" s="72"/>
      <c r="S750" s="72"/>
      <c r="T750" s="72"/>
      <c r="U750" s="72"/>
      <c r="V750" s="72"/>
      <c r="W750" s="72"/>
      <c r="X750" s="72"/>
      <c r="Y750" s="72"/>
      <c r="Z750" s="72"/>
      <c r="AA750" s="72"/>
    </row>
    <row r="751" spans="1:27" x14ac:dyDescent="0.35">
      <c r="A751"/>
      <c r="B751" s="97"/>
      <c r="C751"/>
      <c r="D751"/>
      <c r="E751" s="88"/>
      <c r="F751"/>
      <c r="G751"/>
      <c r="H751"/>
      <c r="I751"/>
      <c r="J751"/>
      <c r="K751"/>
      <c r="L751"/>
      <c r="M751"/>
      <c r="N751"/>
      <c r="O751"/>
      <c r="P751" s="72"/>
      <c r="Q751" s="72"/>
      <c r="R751" s="72"/>
      <c r="S751" s="72"/>
      <c r="T751" s="72"/>
      <c r="U751" s="72"/>
      <c r="V751" s="72"/>
      <c r="W751" s="72"/>
      <c r="X751" s="72"/>
      <c r="Y751" s="72"/>
      <c r="Z751" s="72"/>
      <c r="AA751" s="72"/>
    </row>
    <row r="752" spans="1:27" x14ac:dyDescent="0.35">
      <c r="A752"/>
      <c r="B752" s="97"/>
      <c r="C752"/>
      <c r="D752"/>
      <c r="E752" s="88"/>
      <c r="F752"/>
      <c r="G752"/>
      <c r="H752"/>
      <c r="I752"/>
      <c r="J752"/>
      <c r="K752"/>
      <c r="L752"/>
      <c r="M752"/>
      <c r="N752"/>
      <c r="O752"/>
      <c r="P752" s="72"/>
      <c r="Q752" s="72"/>
      <c r="R752" s="72"/>
      <c r="S752" s="72"/>
      <c r="T752" s="72"/>
      <c r="U752" s="72"/>
      <c r="V752" s="72"/>
      <c r="W752" s="72"/>
      <c r="X752" s="72"/>
      <c r="Y752" s="72"/>
      <c r="Z752" s="72"/>
      <c r="AA752" s="72"/>
    </row>
    <row r="753" spans="1:27" x14ac:dyDescent="0.35">
      <c r="A753"/>
      <c r="B753" s="97"/>
      <c r="C753"/>
      <c r="D753"/>
      <c r="E753" s="88"/>
      <c r="F753"/>
      <c r="G753"/>
      <c r="H753"/>
      <c r="I753"/>
      <c r="J753"/>
      <c r="K753"/>
      <c r="L753"/>
      <c r="M753"/>
      <c r="N753"/>
      <c r="O753"/>
      <c r="P753" s="72"/>
      <c r="Q753" s="72"/>
      <c r="R753" s="72"/>
      <c r="S753" s="72"/>
      <c r="T753" s="72"/>
      <c r="U753" s="72"/>
      <c r="V753" s="72"/>
      <c r="W753" s="72"/>
      <c r="X753" s="72"/>
      <c r="Y753" s="72"/>
      <c r="Z753" s="72"/>
      <c r="AA753" s="72"/>
    </row>
    <row r="754" spans="1:27" x14ac:dyDescent="0.35">
      <c r="A754"/>
      <c r="B754" s="97"/>
      <c r="C754"/>
      <c r="D754"/>
      <c r="E754" s="88"/>
      <c r="F754"/>
      <c r="G754"/>
      <c r="H754"/>
      <c r="I754"/>
      <c r="J754"/>
      <c r="K754"/>
      <c r="L754"/>
      <c r="M754"/>
      <c r="N754"/>
      <c r="O754"/>
      <c r="P754" s="72"/>
      <c r="Q754" s="72"/>
      <c r="R754" s="72"/>
      <c r="S754" s="72"/>
      <c r="T754" s="72"/>
      <c r="U754" s="72"/>
      <c r="V754" s="72"/>
      <c r="W754" s="72"/>
      <c r="X754" s="72"/>
      <c r="Y754" s="72"/>
      <c r="Z754" s="72"/>
      <c r="AA754" s="72"/>
    </row>
    <row r="755" spans="1:27" x14ac:dyDescent="0.35">
      <c r="A755"/>
      <c r="B755" s="97"/>
      <c r="C755"/>
      <c r="D755"/>
      <c r="E755" s="88"/>
      <c r="F755"/>
      <c r="G755"/>
      <c r="H755"/>
      <c r="I755"/>
      <c r="J755"/>
      <c r="K755"/>
      <c r="L755"/>
      <c r="M755"/>
      <c r="N755"/>
      <c r="O755"/>
      <c r="P755" s="72"/>
      <c r="Q755" s="72"/>
      <c r="R755" s="72"/>
      <c r="S755" s="72"/>
      <c r="T755" s="72"/>
      <c r="U755" s="72"/>
      <c r="V755" s="72"/>
      <c r="W755" s="72"/>
      <c r="X755" s="72"/>
      <c r="Y755" s="72"/>
      <c r="Z755" s="72"/>
      <c r="AA755" s="72"/>
    </row>
    <row r="756" spans="1:27" x14ac:dyDescent="0.35">
      <c r="A756"/>
      <c r="B756" s="97"/>
      <c r="C756"/>
      <c r="D756"/>
      <c r="E756" s="88"/>
      <c r="F756"/>
      <c r="G756"/>
      <c r="H756"/>
      <c r="I756"/>
      <c r="J756"/>
      <c r="K756"/>
      <c r="L756"/>
      <c r="M756"/>
      <c r="N756"/>
      <c r="O756"/>
      <c r="P756" s="72"/>
      <c r="Q756" s="72"/>
      <c r="R756" s="72"/>
      <c r="S756" s="72"/>
      <c r="T756" s="72"/>
      <c r="U756" s="72"/>
      <c r="V756" s="72"/>
      <c r="W756" s="72"/>
      <c r="X756" s="72"/>
      <c r="Y756" s="72"/>
      <c r="Z756" s="72"/>
      <c r="AA756" s="72"/>
    </row>
    <row r="757" spans="1:27" x14ac:dyDescent="0.35">
      <c r="A757"/>
      <c r="B757" s="97"/>
      <c r="C757"/>
      <c r="D757"/>
      <c r="E757" s="88"/>
      <c r="F757"/>
      <c r="G757"/>
      <c r="H757"/>
      <c r="I757"/>
      <c r="J757"/>
      <c r="K757"/>
      <c r="L757"/>
      <c r="M757"/>
      <c r="N757"/>
      <c r="O757"/>
      <c r="P757" s="72"/>
      <c r="Q757" s="72"/>
      <c r="R757" s="72"/>
      <c r="S757" s="72"/>
      <c r="T757" s="72"/>
      <c r="U757" s="72"/>
      <c r="V757" s="72"/>
      <c r="W757" s="72"/>
      <c r="X757" s="72"/>
      <c r="Y757" s="72"/>
      <c r="Z757" s="72"/>
      <c r="AA757" s="72"/>
    </row>
    <row r="758" spans="1:27" x14ac:dyDescent="0.35">
      <c r="A758"/>
      <c r="B758" s="97"/>
      <c r="C758"/>
      <c r="D758"/>
      <c r="E758" s="88"/>
      <c r="F758"/>
      <c r="G758"/>
      <c r="H758"/>
      <c r="I758"/>
      <c r="J758"/>
      <c r="K758"/>
      <c r="L758"/>
      <c r="M758"/>
      <c r="N758"/>
      <c r="O758"/>
      <c r="P758" s="72"/>
      <c r="Q758" s="72"/>
      <c r="R758" s="72"/>
      <c r="S758" s="72"/>
      <c r="T758" s="72"/>
      <c r="U758" s="72"/>
      <c r="V758" s="72"/>
      <c r="W758" s="72"/>
      <c r="X758" s="72"/>
      <c r="Y758" s="72"/>
      <c r="Z758" s="72"/>
      <c r="AA758" s="72"/>
    </row>
    <row r="759" spans="1:27" x14ac:dyDescent="0.35">
      <c r="A759"/>
      <c r="B759" s="97"/>
      <c r="C759"/>
      <c r="D759"/>
      <c r="E759" s="88"/>
      <c r="F759"/>
      <c r="G759"/>
      <c r="H759"/>
      <c r="I759"/>
      <c r="J759"/>
      <c r="K759"/>
      <c r="L759"/>
      <c r="M759"/>
      <c r="N759"/>
      <c r="O759"/>
      <c r="P759" s="72"/>
      <c r="Q759" s="72"/>
      <c r="R759" s="72"/>
      <c r="S759" s="72"/>
      <c r="T759" s="72"/>
      <c r="U759" s="72"/>
      <c r="V759" s="72"/>
      <c r="W759" s="72"/>
      <c r="X759" s="72"/>
      <c r="Y759" s="72"/>
      <c r="Z759" s="72"/>
      <c r="AA759" s="72"/>
    </row>
    <row r="760" spans="1:27" x14ac:dyDescent="0.35">
      <c r="A760"/>
      <c r="B760" s="97"/>
      <c r="C760"/>
      <c r="D760"/>
      <c r="E760" s="88"/>
      <c r="F760"/>
      <c r="G760"/>
      <c r="H760"/>
      <c r="I760"/>
      <c r="J760"/>
      <c r="K760"/>
      <c r="L760"/>
      <c r="M760"/>
      <c r="N760"/>
      <c r="O760"/>
      <c r="P760" s="72"/>
      <c r="Q760" s="72"/>
      <c r="R760" s="72"/>
      <c r="S760" s="72"/>
      <c r="T760" s="72"/>
      <c r="U760" s="72"/>
      <c r="V760" s="72"/>
      <c r="W760" s="72"/>
      <c r="X760" s="72"/>
      <c r="Y760" s="72"/>
      <c r="Z760" s="72"/>
      <c r="AA760" s="72"/>
    </row>
    <row r="761" spans="1:27" x14ac:dyDescent="0.35">
      <c r="A761"/>
      <c r="B761" s="97"/>
      <c r="C761"/>
      <c r="D761"/>
      <c r="E761" s="88"/>
      <c r="F761"/>
      <c r="G761"/>
      <c r="H761"/>
      <c r="I761"/>
      <c r="J761"/>
      <c r="K761"/>
      <c r="L761"/>
      <c r="M761"/>
      <c r="N761"/>
      <c r="O761"/>
      <c r="P761" s="72"/>
      <c r="Q761" s="72"/>
      <c r="R761" s="72"/>
      <c r="S761" s="72"/>
      <c r="T761" s="72"/>
      <c r="U761" s="72"/>
      <c r="V761" s="72"/>
      <c r="W761" s="72"/>
      <c r="X761" s="72"/>
      <c r="Y761" s="72"/>
      <c r="Z761" s="72"/>
      <c r="AA761" s="72"/>
    </row>
    <row r="762" spans="1:27" x14ac:dyDescent="0.35">
      <c r="A762"/>
      <c r="B762" s="97"/>
      <c r="C762"/>
      <c r="D762"/>
      <c r="E762" s="88"/>
      <c r="F762"/>
      <c r="G762"/>
      <c r="H762"/>
      <c r="I762"/>
      <c r="J762"/>
      <c r="K762"/>
      <c r="L762"/>
      <c r="M762"/>
      <c r="N762"/>
      <c r="O762"/>
      <c r="P762" s="72"/>
      <c r="Q762" s="72"/>
      <c r="R762" s="72"/>
      <c r="S762" s="72"/>
      <c r="T762" s="72"/>
      <c r="U762" s="72"/>
      <c r="V762" s="72"/>
      <c r="W762" s="72"/>
      <c r="X762" s="72"/>
      <c r="Y762" s="72"/>
      <c r="Z762" s="72"/>
      <c r="AA762" s="72"/>
    </row>
    <row r="763" spans="1:27" x14ac:dyDescent="0.35">
      <c r="A763"/>
      <c r="B763" s="97"/>
      <c r="C763"/>
      <c r="D763"/>
      <c r="E763" s="88"/>
      <c r="F763"/>
      <c r="G763"/>
      <c r="H763"/>
      <c r="I763"/>
      <c r="J763"/>
      <c r="K763"/>
      <c r="L763"/>
      <c r="M763"/>
      <c r="N763"/>
      <c r="O763"/>
      <c r="P763" s="72"/>
      <c r="Q763" s="72"/>
      <c r="R763" s="72"/>
      <c r="S763" s="72"/>
      <c r="T763" s="72"/>
      <c r="U763" s="72"/>
      <c r="V763" s="72"/>
      <c r="W763" s="72"/>
      <c r="X763" s="72"/>
      <c r="Y763" s="72"/>
      <c r="Z763" s="72"/>
      <c r="AA763" s="72"/>
    </row>
    <row r="764" spans="1:27" x14ac:dyDescent="0.35">
      <c r="A764"/>
      <c r="B764" s="97"/>
      <c r="C764"/>
      <c r="D764"/>
      <c r="E764" s="88"/>
      <c r="F764"/>
      <c r="G764"/>
      <c r="H764"/>
      <c r="I764"/>
      <c r="J764"/>
      <c r="K764"/>
      <c r="L764"/>
      <c r="M764"/>
      <c r="N764"/>
      <c r="O764"/>
      <c r="P764" s="72"/>
      <c r="Q764" s="72"/>
      <c r="R764" s="72"/>
      <c r="S764" s="72"/>
      <c r="T764" s="72"/>
      <c r="U764" s="72"/>
      <c r="V764" s="72"/>
      <c r="W764" s="72"/>
      <c r="X764" s="72"/>
      <c r="Y764" s="72"/>
      <c r="Z764" s="72"/>
      <c r="AA764" s="72"/>
    </row>
    <row r="765" spans="1:27" x14ac:dyDescent="0.35">
      <c r="A765"/>
      <c r="B765" s="97"/>
      <c r="C765"/>
      <c r="D765"/>
      <c r="E765" s="88"/>
      <c r="F765"/>
      <c r="G765"/>
      <c r="H765"/>
      <c r="I765"/>
      <c r="J765"/>
      <c r="K765"/>
      <c r="L765"/>
      <c r="M765"/>
      <c r="N765"/>
      <c r="O765"/>
      <c r="P765" s="72"/>
      <c r="Q765" s="72"/>
      <c r="R765" s="72"/>
      <c r="S765" s="72"/>
      <c r="T765" s="72"/>
      <c r="U765" s="72"/>
      <c r="V765" s="72"/>
      <c r="W765" s="72"/>
      <c r="X765" s="72"/>
      <c r="Y765" s="72"/>
      <c r="Z765" s="72"/>
      <c r="AA765" s="72"/>
    </row>
  </sheetData>
  <dataConsolidate/>
  <mergeCells count="77">
    <mergeCell ref="L33:O33"/>
    <mergeCell ref="L34:L35"/>
    <mergeCell ref="M34:M35"/>
    <mergeCell ref="N34:N35"/>
    <mergeCell ref="O34:O35"/>
    <mergeCell ref="A32:I32"/>
    <mergeCell ref="A33:B35"/>
    <mergeCell ref="C33:C35"/>
    <mergeCell ref="D33:D35"/>
    <mergeCell ref="E33:E35"/>
    <mergeCell ref="F33:F35"/>
    <mergeCell ref="G33:G35"/>
    <mergeCell ref="H33:H35"/>
    <mergeCell ref="I33:I35"/>
    <mergeCell ref="O59:O60"/>
    <mergeCell ref="L46:O46"/>
    <mergeCell ref="L47:L48"/>
    <mergeCell ref="M47:M48"/>
    <mergeCell ref="N47:N48"/>
    <mergeCell ref="O47:O48"/>
    <mergeCell ref="L58:O58"/>
    <mergeCell ref="L59:L60"/>
    <mergeCell ref="M59:M60"/>
    <mergeCell ref="N59:N60"/>
    <mergeCell ref="A57:I57"/>
    <mergeCell ref="A58:B60"/>
    <mergeCell ref="D58:D60"/>
    <mergeCell ref="E58:E60"/>
    <mergeCell ref="F58:F60"/>
    <mergeCell ref="I58:I60"/>
    <mergeCell ref="G58:G60"/>
    <mergeCell ref="H58:H60"/>
    <mergeCell ref="C58:C60"/>
    <mergeCell ref="A45:I45"/>
    <mergeCell ref="A46:B48"/>
    <mergeCell ref="D46:D48"/>
    <mergeCell ref="E46:E48"/>
    <mergeCell ref="F46:F48"/>
    <mergeCell ref="I46:I48"/>
    <mergeCell ref="C46:C48"/>
    <mergeCell ref="G46:G48"/>
    <mergeCell ref="H46:H48"/>
    <mergeCell ref="L21:O21"/>
    <mergeCell ref="L22:L23"/>
    <mergeCell ref="M22:M23"/>
    <mergeCell ref="N22:N23"/>
    <mergeCell ref="O22:O23"/>
    <mergeCell ref="A20:I20"/>
    <mergeCell ref="A21:B23"/>
    <mergeCell ref="D21:D23"/>
    <mergeCell ref="E21:E23"/>
    <mergeCell ref="F21:F23"/>
    <mergeCell ref="I21:I23"/>
    <mergeCell ref="C21:C23"/>
    <mergeCell ref="G21:G23"/>
    <mergeCell ref="H21:H23"/>
    <mergeCell ref="L8:O8"/>
    <mergeCell ref="A9:I9"/>
    <mergeCell ref="A10:B12"/>
    <mergeCell ref="D10:D12"/>
    <mergeCell ref="E10:E12"/>
    <mergeCell ref="F10:F12"/>
    <mergeCell ref="I10:I12"/>
    <mergeCell ref="L10:O10"/>
    <mergeCell ref="L11:L12"/>
    <mergeCell ref="M11:M12"/>
    <mergeCell ref="N11:N12"/>
    <mergeCell ref="O11:O12"/>
    <mergeCell ref="G10:G12"/>
    <mergeCell ref="H10:H12"/>
    <mergeCell ref="C10:C12"/>
    <mergeCell ref="E6:F6"/>
    <mergeCell ref="E1:F1"/>
    <mergeCell ref="E2:F2"/>
    <mergeCell ref="E3:F3"/>
    <mergeCell ref="E4:F4"/>
    <mergeCell ref="E5:F5"/>
  </mergeCells>
  <hyperlinks>
    <hyperlink ref="B14" r:id="rId1" xr:uid="{AACC8754-85FA-4D83-B6D6-7E995CEECE9D}"/>
    <hyperlink ref="B55" r:id="rId2" xr:uid="{9D48C4C7-9D4B-44B7-BD2A-670A788935BC}"/>
    <hyperlink ref="B13" r:id="rId3" xr:uid="{5463A7C5-16F2-4C38-BFFF-CCABA9194F23}"/>
    <hyperlink ref="B64" r:id="rId4" display="Good Morning" xr:uid="{087A8C6D-16B2-4389-BFA9-8AE238F36754}"/>
    <hyperlink ref="B65" r:id="rId5" xr:uid="{909BC544-4F3D-4F0B-B757-C9B8B7F72713}"/>
    <hyperlink ref="H13" r:id="rId6" xr:uid="{43696DB1-E914-4F1F-A671-6F8F33FF3622}"/>
    <hyperlink ref="B31" r:id="rId7" xr:uid="{44D46173-ED2F-40F9-9D4A-E3ABA55CA675}"/>
    <hyperlink ref="B28" r:id="rId8" xr:uid="{CCDCDC8D-64EB-45C4-B356-EBAC22E866A0}"/>
    <hyperlink ref="B61" r:id="rId9" xr:uid="{405314F8-D7E9-4B55-A916-3CE90C1329EC}"/>
    <hyperlink ref="G13" r:id="rId10" xr:uid="{364399A6-FC19-462A-942E-AE7AF9C04601}"/>
    <hyperlink ref="G14" r:id="rId11" xr:uid="{F772AE7C-BEEE-4793-872E-B9A6E5A9DADC}"/>
    <hyperlink ref="H14" r:id="rId12" xr:uid="{3C6C4ECB-4ED7-494A-9BDB-FA6BE19B3B9E}"/>
    <hyperlink ref="G15" r:id="rId13" xr:uid="{DEB153B1-AD46-4B5B-B8AF-F87C641E0A95}"/>
    <hyperlink ref="H15" r:id="rId14" xr:uid="{CEDFCA63-79F7-4506-855E-0187963D9759}"/>
    <hyperlink ref="G28" r:id="rId15" xr:uid="{B46C8B8E-DEE8-4613-A880-87280648B40F}"/>
    <hyperlink ref="H28" r:id="rId16" xr:uid="{E1219EF1-D0D8-40BA-AD8F-BB7B8A657C1F}"/>
    <hyperlink ref="G31" r:id="rId17" xr:uid="{178A9C67-0C10-406B-8419-D03E493A5B5C}"/>
    <hyperlink ref="H31" r:id="rId18" xr:uid="{DE2B5117-C345-470D-AE7F-95498E709880}"/>
    <hyperlink ref="G55" r:id="rId19" xr:uid="{A78FF033-A48C-4FCB-92F4-154B60C91E50}"/>
    <hyperlink ref="H55" r:id="rId20" xr:uid="{BE5CBCBC-3D90-4E8C-B047-7326341A0B89}"/>
    <hyperlink ref="G61" r:id="rId21" xr:uid="{815B7D79-9AFB-442F-A30C-B83DD0EBB2AC}"/>
    <hyperlink ref="H61" r:id="rId22" xr:uid="{D4B7E46C-8138-4083-A302-7336FBD3A56C}"/>
    <hyperlink ref="G64" r:id="rId23" display="Nordic Ham Curl" xr:uid="{AAFF8DA9-D817-40CE-BC9B-7BC230939B74}"/>
    <hyperlink ref="H64" r:id="rId24" display="Lying Leg Curl" xr:uid="{492E6CE7-3CE4-4F58-BE3D-1EDBCC92BDAF}"/>
    <hyperlink ref="G65" r:id="rId25" xr:uid="{676F77E2-0251-4A91-91D4-785359C9DA78}"/>
    <hyperlink ref="H65" r:id="rId26" xr:uid="{9FA7C2A0-AA3C-48CD-AE07-1DC44E13D5BD}"/>
    <hyperlink ref="G67" r:id="rId27" xr:uid="{09219873-3A40-4640-B3E0-F34858175A66}"/>
    <hyperlink ref="H67" r:id="rId28" xr:uid="{F5A8959C-AF0B-459F-BFFC-E0DDEF61204B}"/>
    <hyperlink ref="G68" r:id="rId29" xr:uid="{924C9766-E40C-42F8-881B-B03F3E884FE7}"/>
    <hyperlink ref="H68" r:id="rId30" xr:uid="{1CA58870-52D2-44AE-99FB-0C85C61580E0}"/>
    <hyperlink ref="B15" r:id="rId31" xr:uid="{23481667-D888-4302-972F-70B0B771EA39}"/>
    <hyperlink ref="B16" r:id="rId32" xr:uid="{BBBB786C-85CC-4887-825B-471CFFFA1845}"/>
    <hyperlink ref="G16" r:id="rId33" xr:uid="{EA52B3D4-BCC0-43EB-B310-62C595712118}"/>
    <hyperlink ref="H16" r:id="rId34" xr:uid="{DEDB098A-2088-4F42-BEE3-F543E8F0C659}"/>
    <hyperlink ref="B24" r:id="rId35" xr:uid="{0E355044-FF1F-45F6-86C8-8B1B613F8CF1}"/>
    <hyperlink ref="G24" r:id="rId36" xr:uid="{35A76B9F-8F7D-4047-AFE3-5151B097110E}"/>
    <hyperlink ref="H24" r:id="rId37" xr:uid="{CDE8E022-5225-4D91-9A12-CE2DFBF1DA55}"/>
    <hyperlink ref="B25" r:id="rId38" xr:uid="{AC64EC4B-6B09-44DB-B574-48003C4B1C91}"/>
    <hyperlink ref="G25" r:id="rId39" xr:uid="{21A39A2E-95D7-41C3-BA26-072122D6EFBE}"/>
    <hyperlink ref="H25" r:id="rId40" xr:uid="{3A9209A5-50B8-4F29-91E5-6912A15586ED}"/>
    <hyperlink ref="B26" r:id="rId41" display="BB Skull Crusher" xr:uid="{6D2E025F-8CB0-41CD-9FA7-ACC34D638665}"/>
    <hyperlink ref="G26" r:id="rId42" display="BB Skull Crusher" xr:uid="{17EE8EAD-4762-482C-B43F-5807E68AE781}"/>
    <hyperlink ref="H26" r:id="rId43" xr:uid="{72804246-7C50-41A2-B254-4BFC15A7F0AF}"/>
    <hyperlink ref="B27" r:id="rId44" xr:uid="{814ABFAF-210E-49F3-97BC-9C0C54C5D11E}"/>
    <hyperlink ref="G27" r:id="rId45" xr:uid="{396CC17E-1D4D-4683-886A-A60EA518D424}"/>
    <hyperlink ref="H27" r:id="rId46" xr:uid="{968BEB21-A31D-4C1B-B14D-313A037A2018}"/>
    <hyperlink ref="B30" r:id="rId47" xr:uid="{6C4797F1-BAEB-4A39-9ABB-8B77A3F742F6}"/>
    <hyperlink ref="G30" r:id="rId48" xr:uid="{B03E0F81-4C64-44D5-9F5B-32833414D6E2}"/>
    <hyperlink ref="H30" r:id="rId49" xr:uid="{CEA2E057-4859-4FE7-A03A-428B0C4C6DDC}"/>
    <hyperlink ref="B29" r:id="rId50" xr:uid="{67FA2A39-67E0-4396-B9BD-694C4EB3D2BF}"/>
    <hyperlink ref="H29" r:id="rId51" xr:uid="{E7645F3A-AAF2-45DE-BE6E-F364C50A9B6D}"/>
    <hyperlink ref="G29" r:id="rId52" xr:uid="{DADBE84C-A4D2-485B-B448-577FE4E3621A}"/>
    <hyperlink ref="B38" r:id="rId53" xr:uid="{0BCA891A-8390-4A75-8BA7-F9772F5A0431}"/>
    <hyperlink ref="B39" r:id="rId54" display="Good Morning" xr:uid="{12BF6527-AE21-4A83-B99A-B19AF927AC9A}"/>
    <hyperlink ref="B40" r:id="rId55" display="Leg Extension" xr:uid="{42DB7287-5768-4927-B586-8867307A3B02}"/>
    <hyperlink ref="B43" r:id="rId56" xr:uid="{B3F09A45-1079-4DB6-A3AC-6C642BF32B79}"/>
    <hyperlink ref="G37" r:id="rId57" xr:uid="{28BE05F0-510A-491A-BFB8-B1728E96C170}"/>
    <hyperlink ref="H37" r:id="rId58" xr:uid="{24A9FDC9-F7BC-4E21-A6BB-7AE0E9414E48}"/>
    <hyperlink ref="G38" r:id="rId59" xr:uid="{9CB1E719-1C12-4FFC-863D-60879353EE93}"/>
    <hyperlink ref="H38" r:id="rId60" xr:uid="{7D8AF324-7DE1-41F5-91D3-4E946B2D39E1}"/>
    <hyperlink ref="B42" r:id="rId61" display="Seated Calf Raise" xr:uid="{A5B2A3A9-A6A8-481C-B2BF-959B5233932A}"/>
    <hyperlink ref="G43" r:id="rId62" xr:uid="{36CEDE29-7524-44A4-8005-6087D6ABE5E6}"/>
    <hyperlink ref="H43" r:id="rId63" xr:uid="{4F91D789-68BB-4F89-9B11-05A45E0AAB6E}"/>
    <hyperlink ref="B44" r:id="rId64" xr:uid="{B7CA089F-C41C-49EB-B56A-44DC854A060F}"/>
    <hyperlink ref="G44" r:id="rId65" xr:uid="{659CD004-6CEA-4215-84FA-64457B814393}"/>
    <hyperlink ref="H44" r:id="rId66" xr:uid="{2DD1113C-510E-48E3-9A94-FDF600E374E3}"/>
    <hyperlink ref="G36" r:id="rId67" xr:uid="{F40641F8-1248-4A2B-8C6A-8E947B24855B}"/>
    <hyperlink ref="H36" r:id="rId68" xr:uid="{CD568A11-DC3C-46A1-B5E3-24B0BEF1F97D}"/>
    <hyperlink ref="B36" r:id="rId69" xr:uid="{80DD8FE5-8233-40C9-BBF0-F8A13ABDF34A}"/>
    <hyperlink ref="B37" r:id="rId70" xr:uid="{455A0553-3A8A-408B-AFC3-4567D7699053}"/>
    <hyperlink ref="B17" r:id="rId71" xr:uid="{9CF57955-5E6A-4112-A7D6-36456AE22974}"/>
    <hyperlink ref="G17" r:id="rId72" xr:uid="{929D1CE9-243B-4584-9423-C9090A0938FA}"/>
    <hyperlink ref="H17" r:id="rId73" xr:uid="{1A863BBF-1E7A-461B-8A86-316346B67456}"/>
    <hyperlink ref="B19" r:id="rId74" xr:uid="{75382FD5-10A8-4BA3-A1A1-A1BF7A41056E}"/>
    <hyperlink ref="B18" r:id="rId75" xr:uid="{FD760595-0F90-4999-BBEC-71FD7022A69C}"/>
    <hyperlink ref="G18" r:id="rId76" xr:uid="{115F5DAA-ADFB-4912-8A61-6C47F1AA9420}"/>
    <hyperlink ref="H18" r:id="rId77" xr:uid="{162B9BE4-15B5-427F-9086-A0C9F9BCA510}"/>
    <hyperlink ref="G19" r:id="rId78" xr:uid="{D248F857-41A7-4055-A92B-FD38FD327DD5}"/>
    <hyperlink ref="H19" r:id="rId79" xr:uid="{1335498C-DE96-4F17-BEBB-880DA4ECF7C2}"/>
    <hyperlink ref="G39" r:id="rId80" xr:uid="{93D0207A-BB41-4C4B-82B6-C9CB8E397707}"/>
    <hyperlink ref="H39" r:id="rId81" xr:uid="{E05A965B-DF1B-42E6-B903-FCC631602CC5}"/>
    <hyperlink ref="G40" r:id="rId82" xr:uid="{087C5C09-3D0C-4270-97D5-3655840C1BB0}"/>
    <hyperlink ref="H40" r:id="rId83" xr:uid="{54C17456-E747-4DE6-83F5-39EAFC50F74E}"/>
    <hyperlink ref="B41" r:id="rId84" display="Seated Calf Raise" xr:uid="{2742AD3D-351E-4BAF-9DCA-8F41EBD3F4C3}"/>
    <hyperlink ref="G41" r:id="rId85" xr:uid="{3D620512-3D4F-4F42-9261-984C9D68A83A}"/>
    <hyperlink ref="H41" r:id="rId86" xr:uid="{49891854-A11B-4E4A-B95F-604C5FF9C8C5}"/>
    <hyperlink ref="G42" r:id="rId87" xr:uid="{11C1F719-E458-4253-8174-9DEFA6985981}"/>
    <hyperlink ref="H42" r:id="rId88" xr:uid="{B9B6D130-B9E2-4AF5-92C4-5C996306F78B}"/>
    <hyperlink ref="B49" r:id="rId89" xr:uid="{0D5A4FCA-E538-4E47-817B-865641EEF205}"/>
    <hyperlink ref="G49" r:id="rId90" xr:uid="{3F4A4EAD-740E-4F9D-9827-03645888B76D}"/>
    <hyperlink ref="H49" r:id="rId91" xr:uid="{80265FB1-1671-4A4F-8D73-646B85063805}"/>
    <hyperlink ref="B50" r:id="rId92" xr:uid="{7B7C3252-9C54-4A81-8625-E88B2AE109BD}"/>
    <hyperlink ref="H50" r:id="rId93" xr:uid="{D7D5F867-8566-4BB2-B0A3-2914323A5611}"/>
    <hyperlink ref="G50" r:id="rId94" xr:uid="{33FF4371-8806-4E80-9381-E4E6F913808C}"/>
    <hyperlink ref="B51" r:id="rId95" xr:uid="{A855D99B-200B-4A2B-A798-F9DB6088FB90}"/>
    <hyperlink ref="G51" r:id="rId96" xr:uid="{03097318-7FC7-4347-9058-68604A37444F}"/>
    <hyperlink ref="H51" r:id="rId97" xr:uid="{FF3433E3-66FB-48C4-A818-E5AFA0998131}"/>
    <hyperlink ref="B52" r:id="rId98" xr:uid="{12702B5C-FAEB-46E6-B7FF-D21863E44ABB}"/>
    <hyperlink ref="G52" r:id="rId99" xr:uid="{396985BB-A118-4A01-BAE4-B59F1CED6EDB}"/>
    <hyperlink ref="H52" r:id="rId100" xr:uid="{3BD67928-5ED6-4BC5-90C7-D9D3B4C33DEF}"/>
    <hyperlink ref="B53" r:id="rId101" xr:uid="{CE4D9B57-D035-4143-93CE-3708F049A5E5}"/>
    <hyperlink ref="G53" r:id="rId102" xr:uid="{86812A1F-A3AC-44CC-8FC2-27231AEE7F37}"/>
    <hyperlink ref="H53" r:id="rId103" xr:uid="{13FEE5CF-F3C2-41B6-A94B-57CDD5889E57}"/>
    <hyperlink ref="B54" r:id="rId104" xr:uid="{88ECBDD0-3CB6-45CA-9B73-5AEAECE6C09F}"/>
    <hyperlink ref="G54" r:id="rId105" xr:uid="{59F60E6D-23E2-4D88-B569-0916964C8E8A}"/>
    <hyperlink ref="H54" r:id="rId106" xr:uid="{D44669BD-D7BF-4A23-B5D4-261C803AD131}"/>
    <hyperlink ref="B56" r:id="rId107" display="BB Skull Crusher" xr:uid="{11ED4737-6AE0-4270-8F0E-EDEDCF31158F}"/>
    <hyperlink ref="G56" r:id="rId108" display="BB Skull Crusher" xr:uid="{6B3FC1E3-F3F9-48F8-912C-E9469F1D987A}"/>
    <hyperlink ref="H56" r:id="rId109" xr:uid="{EDBC721B-91B7-4C32-B7A4-4953B1EF552C}"/>
    <hyperlink ref="B62" r:id="rId110" display="Barbell Hip Thrust" xr:uid="{7C9B68F5-E428-4D18-97AE-07A7AB247EC3}"/>
    <hyperlink ref="B63" r:id="rId111" xr:uid="{C48A1313-C3EA-4052-B280-E979435E08B4}"/>
    <hyperlink ref="G63" r:id="rId112" xr:uid="{648FF4B4-7E2F-4B79-9EBA-8B9D0CB3E650}"/>
    <hyperlink ref="H63" r:id="rId113" xr:uid="{B3CE50D6-A913-4800-AAE2-BE9556997BFA}"/>
    <hyperlink ref="H62" r:id="rId114" xr:uid="{BF194DF2-8554-46DF-9065-14708164F897}"/>
    <hyperlink ref="G62" r:id="rId115" xr:uid="{6EB0B150-B83F-4E4E-9C08-DD9C4AC7FDD4}"/>
    <hyperlink ref="B66" r:id="rId116" xr:uid="{4B57C6DE-0DC2-40EF-928D-B42C0F6BC965}"/>
    <hyperlink ref="G66" r:id="rId117" xr:uid="{AE9839C4-47FE-44B9-82EF-5D3BAD449EAE}"/>
    <hyperlink ref="H66" r:id="rId118" xr:uid="{6F57ABA9-101A-424C-B1AE-20909DD05987}"/>
    <hyperlink ref="B67" r:id="rId119" xr:uid="{16D80615-62D3-4640-B10B-D57C370DB56F}"/>
    <hyperlink ref="B68" r:id="rId120" xr:uid="{5EA02D9C-F50F-429C-AF76-BA0886AF1518}"/>
  </hyperlinks>
  <pageMargins left="0.7" right="0.7" top="0.75" bottom="0.75" header="0.3" footer="0.3"/>
  <drawing r:id="rId12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0C183-7952-438E-B881-157494BE330E}">
  <sheetPr codeName="Hoja8"/>
  <dimension ref="A1"/>
  <sheetViews>
    <sheetView showGridLines="0" zoomScale="75" zoomScaleNormal="80" zoomScalePageLayoutView="80" workbookViewId="0"/>
  </sheetViews>
  <sheetFormatPr defaultColWidth="10.875" defaultRowHeight="15.75" x14ac:dyDescent="0.25"/>
  <cols>
    <col min="1" max="16384" width="10.875" style="16"/>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D3A0-3372-0C4D-835E-B22048D7B614}">
  <sheetPr codeName="Hoja7"/>
  <dimension ref="A1"/>
  <sheetViews>
    <sheetView showGridLines="0" zoomScale="75" zoomScaleNormal="80" zoomScalePageLayoutView="80" workbookViewId="0">
      <selection activeCell="Y8" sqref="Y8"/>
    </sheetView>
  </sheetViews>
  <sheetFormatPr defaultColWidth="10.875" defaultRowHeight="15.75" x14ac:dyDescent="0.25"/>
  <cols>
    <col min="1" max="16384" width="10.875" style="16"/>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1</vt:i4>
      </vt:variant>
      <vt:variant>
        <vt:lpstr>Named Ranges</vt:lpstr>
      </vt:variant>
      <vt:variant>
        <vt:i4>1</vt:i4>
      </vt:variant>
    </vt:vector>
  </HeadingPairs>
  <TitlesOfParts>
    <vt:vector size="8" baseType="lpstr">
      <vt:lpstr>INICIO</vt:lpstr>
      <vt:lpstr>INSTRUCTIVO DIETA</vt:lpstr>
      <vt:lpstr>DIETA</vt:lpstr>
      <vt:lpstr>EJERCICIO</vt:lpstr>
      <vt:lpstr>EJEMPLO (1)</vt:lpstr>
      <vt:lpstr>EJEMPLO (2)</vt:lpstr>
      <vt:lpstr>PROGRESO</vt:lpstr>
      <vt:lpstr>sino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Juan Felipe Bejarano Cerón</cp:lastModifiedBy>
  <dcterms:created xsi:type="dcterms:W3CDTF">2018-06-26T15:01:02Z</dcterms:created>
  <dcterms:modified xsi:type="dcterms:W3CDTF">2023-09-13T22:50:58Z</dcterms:modified>
</cp:coreProperties>
</file>